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sori\Downloads\"/>
    </mc:Choice>
  </mc:AlternateContent>
  <xr:revisionPtr revIDLastSave="0" documentId="13_ncr:1_{37C5E50F-A974-4BD8-B09F-3A0B8EFACAF5}" xr6:coauthVersionLast="47" xr6:coauthVersionMax="47" xr10:uidLastSave="{00000000-0000-0000-0000-000000000000}"/>
  <bookViews>
    <workbookView xWindow="-120" yWindow="-120" windowWidth="19335" windowHeight="11760" tabRatio="783" firstSheet="2" activeTab="2" xr2:uid="{00000000-000D-0000-FFFF-FFFF00000000}"/>
  </bookViews>
  <sheets>
    <sheet name="Resumen General" sheetId="19" r:id="rId1"/>
    <sheet name="Calculo Factor de Ajuste" sheetId="3" state="hidden" r:id="rId2"/>
    <sheet name="Estimación General" sheetId="11" r:id="rId3"/>
    <sheet name="Estimación 2" sheetId="12" state="hidden" r:id="rId4"/>
    <sheet name="Estimación 3" sheetId="13" state="hidden" r:id="rId5"/>
    <sheet name="Estimación 4" sheetId="14" state="hidden" r:id="rId6"/>
    <sheet name="Estimación 5" sheetId="15" state="hidden" r:id="rId7"/>
    <sheet name="Detalle Estimación" sheetId="20" r:id="rId8"/>
    <sheet name="Set De Pruebas" sheetId="22" r:id="rId9"/>
    <sheet name="Gestión de Actas" sheetId="9" state="hidden" r:id="rId10"/>
    <sheet name="Informe de Cierre" sheetId="5" state="hidden" r:id="rId11"/>
    <sheet name="listas" sheetId="4" state="hidden" r:id="rId12"/>
    <sheet name="Control de Cambios al Documento" sheetId="8" state="hidden" r:id="rId13"/>
    <sheet name="Avance Ejecución" sheetId="23" r:id="rId14"/>
  </sheets>
  <definedNames>
    <definedName name="Analista_Certificación" localSheetId="3">#REF!</definedName>
    <definedName name="Analista_Certificación" localSheetId="4">#REF!</definedName>
    <definedName name="Analista_Certificación" localSheetId="5">#REF!</definedName>
    <definedName name="Analista_Certificación" localSheetId="6">#REF!</definedName>
    <definedName name="Analista_Certificación" localSheetId="2">#REF!</definedName>
    <definedName name="Analista_Contable" localSheetId="3">#REF!</definedName>
    <definedName name="Analista_Contable" localSheetId="4">#REF!</definedName>
    <definedName name="Analista_Contable" localSheetId="5">#REF!</definedName>
    <definedName name="Analista_Contable" localSheetId="6">#REF!</definedName>
    <definedName name="Analista_Contable" localSheetId="2">#REF!</definedName>
    <definedName name="Analista_Funcional" localSheetId="3">#REF!</definedName>
    <definedName name="Analista_Funcional" localSheetId="4">#REF!</definedName>
    <definedName name="Analista_Funcional" localSheetId="5">#REF!</definedName>
    <definedName name="Analista_Funcional" localSheetId="6">#REF!</definedName>
    <definedName name="Analista_Funcional" localSheetId="2">#REF!</definedName>
    <definedName name="Aplicativo" localSheetId="3">#REF!</definedName>
    <definedName name="Aplicativo" localSheetId="4">#REF!</definedName>
    <definedName name="Aplicativo" localSheetId="5">#REF!</definedName>
    <definedName name="Aplicativo" localSheetId="6">#REF!</definedName>
    <definedName name="Aplicativo" localSheetId="2">#REF!</definedName>
    <definedName name="ASIGNADODV">#REF!</definedName>
    <definedName name="CATEGORIAM">#REF!</definedName>
    <definedName name="Centro_de_Costos" localSheetId="3">#REF!</definedName>
    <definedName name="Centro_de_Costos" localSheetId="4">#REF!</definedName>
    <definedName name="Centro_de_Costos" localSheetId="5">#REF!</definedName>
    <definedName name="Centro_de_Costos" localSheetId="6">#REF!</definedName>
    <definedName name="Centro_de_Costos" localSheetId="2">#REF!</definedName>
    <definedName name="CLASIFICACION">#REF!</definedName>
    <definedName name="Cliente" localSheetId="3">#REF!</definedName>
    <definedName name="Cliente" localSheetId="4">#REF!</definedName>
    <definedName name="Cliente" localSheetId="5">#REF!</definedName>
    <definedName name="Cliente" localSheetId="6">#REF!</definedName>
    <definedName name="Cliente" localSheetId="2">#REF!</definedName>
    <definedName name="Complejidad" localSheetId="3">#REF!</definedName>
    <definedName name="Complejidad" localSheetId="4">#REF!</definedName>
    <definedName name="Complejidad" localSheetId="5">#REF!</definedName>
    <definedName name="Complejidad" localSheetId="6">#REF!</definedName>
    <definedName name="Complejidad" localSheetId="2">#REF!</definedName>
    <definedName name="COMPLEJIDAD">#REF!</definedName>
    <definedName name="DFestivos">#REF!</definedName>
    <definedName name="ESTADO">#REF!</definedName>
    <definedName name="ESTADOC1">#REF!</definedName>
    <definedName name="ESTADOC2">#REF!</definedName>
    <definedName name="ESTADOC3">#REF!</definedName>
    <definedName name="ESTADOR3">#REF!</definedName>
    <definedName name="FECHAREPORTE">#REF!</definedName>
    <definedName name="FUNCIONALIDAD">#REF!</definedName>
    <definedName name="HL">#REF!</definedName>
    <definedName name="ID">#REF!</definedName>
    <definedName name="IDCPADISEÑAR">'Estimación General'!$B:$B</definedName>
    <definedName name="INFORMADOR">#REF!</definedName>
    <definedName name="IP" localSheetId="3">#REF!</definedName>
    <definedName name="IP" localSheetId="4">#REF!</definedName>
    <definedName name="IP" localSheetId="5">#REF!</definedName>
    <definedName name="IP" localSheetId="6">#REF!</definedName>
    <definedName name="IP" localSheetId="2">#REF!</definedName>
    <definedName name="Línea" localSheetId="3">#REF!</definedName>
    <definedName name="Línea" localSheetId="4">#REF!</definedName>
    <definedName name="Línea" localSheetId="5">#REF!</definedName>
    <definedName name="Línea" localSheetId="6">#REF!</definedName>
    <definedName name="Línea" localSheetId="2">#REF!</definedName>
    <definedName name="lstAcuedeServi">#REF!</definedName>
    <definedName name="lstAcuerdos">#REF!</definedName>
    <definedName name="lstAcuerdosNivelSLA">#REF!</definedName>
    <definedName name="lstAcuerdosServicio">#REF!</definedName>
    <definedName name="lstAcuerdosSLA">#REF!</definedName>
    <definedName name="lstAcurdosServicio">#REF!</definedName>
    <definedName name="lstAcuSLAs">#REF!</definedName>
    <definedName name="lstAlcance">#REF!</definedName>
    <definedName name="lstAlcanceCert">#REF!</definedName>
    <definedName name="lstAlcandelaCert">#REF!</definedName>
    <definedName name="lstAlcCert">#REF!</definedName>
    <definedName name="lstAmbdePru">#REF!</definedName>
    <definedName name="lstAmbi">#REF!</definedName>
    <definedName name="lstAmbPruebas">#REF!</definedName>
    <definedName name="lstApDocu">#REF!</definedName>
    <definedName name="lstAprobacionDoc">#REF!</definedName>
    <definedName name="lstAprobdel">#REF!</definedName>
    <definedName name="lstAprobDocu">#REF!</definedName>
    <definedName name="lstBug">#REF!</definedName>
    <definedName name="lstCancelacion">#REF!</definedName>
    <definedName name="lstCritdeDev">#REF!</definedName>
    <definedName name="lstCrite">#REF!</definedName>
    <definedName name="lstCritedeSusyCan">#REF!</definedName>
    <definedName name="lstCriterios">#REF!</definedName>
    <definedName name="lstCriteriosdeCan">#REF!</definedName>
    <definedName name="lstCriteriosDevolucion">#REF!</definedName>
    <definedName name="lstCriteriosSusCanc">#REF!</definedName>
    <definedName name="lstCrono">#REF!</definedName>
    <definedName name="lstCronog">#REF!</definedName>
    <definedName name="lstCronograma">#REF!</definedName>
    <definedName name="lstCronoq">#REF!</definedName>
    <definedName name="lstDefModSistema">#REF!</definedName>
    <definedName name="lstEstraCert">#REF!</definedName>
    <definedName name="lstEstrat">#REF!</definedName>
    <definedName name="lstEstratdelaCert">#REF!</definedName>
    <definedName name="lstFasePrueba">#REF!</definedName>
    <definedName name="lstInfraPruebas">#REF!</definedName>
    <definedName name="lstIntCoCer">#REF!</definedName>
    <definedName name="lstInteg">#REF!</definedName>
    <definedName name="lstLimitaciones">#REF!</definedName>
    <definedName name="lstMatRieOp">#REF!</definedName>
    <definedName name="lstMatRiePruSecAu">#REF!</definedName>
    <definedName name="lstMatRiesgo">#REF!</definedName>
    <definedName name="lstMatriz">#REF!</definedName>
    <definedName name="lstMatrizFunc">#REF!</definedName>
    <definedName name="lstMatrizRiesgoFunc">#REF!</definedName>
    <definedName name="lstMatrizRiesgoOpera">#REF!</definedName>
    <definedName name="lstMatrizSec">#REF!</definedName>
    <definedName name="lstModSistem">#REF!</definedName>
    <definedName name="lstPrequi">#REF!</definedName>
    <definedName name="lstprere">#REF!</definedName>
    <definedName name="lstPreReqs">#REF!</definedName>
    <definedName name="lstPreRequisitos">#REF!</definedName>
    <definedName name="lstServicio">#REF!</definedName>
    <definedName name="lstSLAs">#REF!</definedName>
    <definedName name="lstSupGene">#REF!</definedName>
    <definedName name="lstSupuestosLimita">#REF!</definedName>
    <definedName name="lstSupuestosPrueba">#REF!</definedName>
    <definedName name="lstSusyLimi">#REF!</definedName>
    <definedName name="lstTech">#REF!</definedName>
    <definedName name="NCP">#REF!</definedName>
    <definedName name="PRIORIDAD">#REF!</definedName>
    <definedName name="RESOLUCIÓN">#REF!</definedName>
    <definedName name="Responsable_Prueba">#REF!</definedName>
    <definedName name="RESUMEN">#REF!</definedName>
    <definedName name="Soluciones" localSheetId="3">#REF!</definedName>
    <definedName name="Soluciones" localSheetId="4">#REF!</definedName>
    <definedName name="Soluciones" localSheetId="5">#REF!</definedName>
    <definedName name="Soluciones" localSheetId="6">#REF!</definedName>
    <definedName name="Soluciones" localSheetId="2">#REF!</definedName>
    <definedName name="TIEMPO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20" l="1"/>
  <c r="E52" i="20"/>
  <c r="E33" i="19"/>
  <c r="C33" i="19"/>
  <c r="T20" i="4"/>
  <c r="S20" i="4"/>
  <c r="R20" i="4"/>
  <c r="Q20" i="4"/>
  <c r="U19" i="4"/>
  <c r="U18" i="4"/>
  <c r="U17" i="4"/>
  <c r="U16" i="4"/>
  <c r="U15" i="4"/>
  <c r="U14" i="4"/>
  <c r="U20" i="4"/>
  <c r="C49" i="5"/>
  <c r="C42" i="5"/>
  <c r="C24" i="5"/>
  <c r="C21" i="5"/>
  <c r="C19" i="5"/>
  <c r="C22" i="5"/>
  <c r="C17" i="5"/>
  <c r="C18" i="5"/>
  <c r="I60" i="5"/>
  <c r="H60" i="5"/>
  <c r="G60" i="5"/>
  <c r="F60" i="5"/>
  <c r="E60" i="5"/>
  <c r="D60" i="5"/>
  <c r="C60" i="5"/>
  <c r="H58" i="5"/>
  <c r="G58" i="5"/>
  <c r="E58" i="5"/>
  <c r="F58" i="5"/>
  <c r="D58" i="5"/>
  <c r="C58" i="5"/>
  <c r="F56" i="5"/>
  <c r="F54" i="5"/>
  <c r="E54" i="5"/>
  <c r="D54" i="5"/>
  <c r="C54" i="5"/>
  <c r="E52" i="5"/>
  <c r="D52" i="5"/>
  <c r="C52" i="5"/>
  <c r="C36" i="5"/>
  <c r="B7" i="5"/>
  <c r="C24" i="3"/>
  <c r="C45" i="5"/>
  <c r="C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tc={D0ED5D7A-A8D4-4B15-8B11-E83354455C95}</author>
    <author>tc={0278E1F6-0354-4BF3-9FFB-ADF70F4FAED0}</author>
    <author>tc={3A5BE23D-D4D2-41EA-BD60-E9ACA1A5AA5B}</author>
    <author>tc={B67EB4A7-BF0F-47EB-9067-3B22BB1DBA5F}</author>
  </authors>
  <commentList>
    <comment ref="C6" authorId="0" shapeId="0" xr:uid="{D0ED5D7A-A8D4-4B15-8B11-E83354455C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ejecuta todo el plan o se instala en producción con defectos abiertos con el aval de Usuario</t>
      </text>
    </comment>
    <comment ref="D6" authorId="1" shapeId="0" xr:uid="{0278E1F6-0354-4BF3-9FFB-ADF70F4FAE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Plan de pruebas ejecutado al 100% sin defectos abiertos</t>
      </text>
    </comment>
    <comment ref="C20" authorId="2" shapeId="0" xr:uid="{3A5BE23D-D4D2-41EA-BD60-E9ACA1A5AA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Ingresar en este campo el tiempo Real en horas que le llevo ejecutar el plan de pruebas</t>
      </text>
    </comment>
    <comment ref="C25" authorId="3" shapeId="0" xr:uid="{B67EB4A7-BF0F-47EB-9067-3B22BB1DBA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es &lt;=0: Cumplimiento del Time To Market (estimación planeada)
Si es &gt;0: No cumple el Time To Market</t>
      </text>
    </comment>
  </commentList>
</comments>
</file>

<file path=xl/sharedStrings.xml><?xml version="1.0" encoding="utf-8"?>
<sst xmlns="http://schemas.openxmlformats.org/spreadsheetml/2006/main" count="1538" uniqueCount="700">
  <si>
    <t>RESUMEN ESTIMACIÓN DE TIEMPOS</t>
  </si>
  <si>
    <t>Gerencia de pruebas de Software</t>
  </si>
  <si>
    <t>Versión 5.5</t>
  </si>
  <si>
    <t>Datos del Proyecto</t>
  </si>
  <si>
    <t>Consecutivo del proyecto (ID/CE)</t>
  </si>
  <si>
    <t>Equipo de trabajo del Proyecto</t>
  </si>
  <si>
    <t>Lider de Negocio/PO</t>
  </si>
  <si>
    <t>Iniciativa</t>
  </si>
  <si>
    <t>E-commerce</t>
  </si>
  <si>
    <t>Lider técnico</t>
  </si>
  <si>
    <t>Nombre del proyecto</t>
  </si>
  <si>
    <t>UCompensar</t>
  </si>
  <si>
    <t>PMO</t>
  </si>
  <si>
    <t>Entregable/Sprint</t>
  </si>
  <si>
    <t>Scrum Master</t>
  </si>
  <si>
    <t>Etapa</t>
  </si>
  <si>
    <t>Planeación</t>
  </si>
  <si>
    <t>Coordinador de Desarrollo</t>
  </si>
  <si>
    <t>Categoria del proyecto</t>
  </si>
  <si>
    <t>Proyecto</t>
  </si>
  <si>
    <t>Fecha Estimada de Inicio</t>
  </si>
  <si>
    <t>Tipo de proyecto</t>
  </si>
  <si>
    <t>Estratégico</t>
  </si>
  <si>
    <t>Fecha Estimada de Finalización</t>
  </si>
  <si>
    <t>Área de negocio encargada</t>
  </si>
  <si>
    <t>QA</t>
  </si>
  <si>
    <t>Fecha Real de Inicio</t>
  </si>
  <si>
    <t>Aplicativo / Canal</t>
  </si>
  <si>
    <t>Programacion Facil</t>
  </si>
  <si>
    <t>Fecha Real de Finalización</t>
  </si>
  <si>
    <t>Base de datos CORE</t>
  </si>
  <si>
    <t>NA</t>
  </si>
  <si>
    <t>Fecha VoBo Usuario (paso a producción)</t>
  </si>
  <si>
    <t>Líder de Pruebas</t>
  </si>
  <si>
    <t>Julian David Gomez Perez</t>
  </si>
  <si>
    <t>Alcance General de la prueba</t>
  </si>
  <si>
    <t>Total Horas Proyecto</t>
  </si>
  <si>
    <t>Total Días Proyecto</t>
  </si>
  <si>
    <t>Nota</t>
  </si>
  <si>
    <t>Total Horas de Ejecución</t>
  </si>
  <si>
    <t>Total Días de Ejecución</t>
  </si>
  <si>
    <t>Actividad</t>
  </si>
  <si>
    <t>Responsable</t>
  </si>
  <si>
    <t>Total horas</t>
  </si>
  <si>
    <t>Número de recursos</t>
  </si>
  <si>
    <t>Total días</t>
  </si>
  <si>
    <t>Analisis</t>
  </si>
  <si>
    <t>Allison Osorio y Santiago Chaves</t>
  </si>
  <si>
    <t>Diseño</t>
  </si>
  <si>
    <t>Ejecución</t>
  </si>
  <si>
    <t>Cierre</t>
  </si>
  <si>
    <t>Total</t>
  </si>
  <si>
    <t>FACTOR DE RIESGO</t>
  </si>
  <si>
    <t>Causales de Desfase</t>
  </si>
  <si>
    <t>Pruebas
Funcionales</t>
  </si>
  <si>
    <t>Actividades de SW o HW no planeadas</t>
  </si>
  <si>
    <t>Actividades del proyecto no planeadas</t>
  </si>
  <si>
    <t>Administración y control de versiones o releases de documentación</t>
  </si>
  <si>
    <t>Administración y control de versiones o releases de software</t>
  </si>
  <si>
    <t>Apoyo a otros proyectos</t>
  </si>
  <si>
    <t>Calidad del set de datos</t>
  </si>
  <si>
    <t>Cambio de alcance</t>
  </si>
  <si>
    <t>Desconocimiento negocio</t>
  </si>
  <si>
    <t>Disponibilidad y sincronización de equipos de trabajo</t>
  </si>
  <si>
    <t>Ejecución en ambientes compartidos</t>
  </si>
  <si>
    <t>Ejecución simultánea de procesos no planeados en ambiente pruebas compartido</t>
  </si>
  <si>
    <t>Eventos externos</t>
  </si>
  <si>
    <t>Gestión issues</t>
  </si>
  <si>
    <t>Incumplimiento en la entrega de artefactos</t>
  </si>
  <si>
    <t>Inestabilidad del ambiente de pruebas durante la ejecución</t>
  </si>
  <si>
    <t>Mala calidad del artefacto recibido</t>
  </si>
  <si>
    <t>Novedades equipo de trabajo</t>
  </si>
  <si>
    <t>Retraso en entrega del Set de Datos</t>
  </si>
  <si>
    <t>Transferencia de Conocimiento</t>
  </si>
  <si>
    <t>Total Factor de ajuste para el tipo de prueba</t>
  </si>
  <si>
    <t>* El factor de Riesgo no debe superar el 30%</t>
  </si>
  <si>
    <t>ESTIMACION DE CASOS DE PRUEBA A DISEÑAR</t>
  </si>
  <si>
    <t>Id CP</t>
  </si>
  <si>
    <t xml:space="preserve">Clasificación </t>
  </si>
  <si>
    <t>Canal/Funcionalidad/HU</t>
  </si>
  <si>
    <t>Nombre del caso de prueba</t>
  </si>
  <si>
    <t>Complejidad Diseño</t>
  </si>
  <si>
    <t>Complejidad Ejecución</t>
  </si>
  <si>
    <t>CP01</t>
  </si>
  <si>
    <t>Funcional</t>
  </si>
  <si>
    <t>Programacion Facil (Funcionales)</t>
  </si>
  <si>
    <t>Click boton menu "inicio"</t>
  </si>
  <si>
    <t>Bajo</t>
  </si>
  <si>
    <t>CP02</t>
  </si>
  <si>
    <t>Programacion Facil (Funcionales</t>
  </si>
  <si>
    <t>Click boton "cursos"</t>
  </si>
  <si>
    <t>CP03</t>
  </si>
  <si>
    <t>Click boton "Contacto"</t>
  </si>
  <si>
    <t>CP04</t>
  </si>
  <si>
    <t>Click boton "Explorar Cursos"</t>
  </si>
  <si>
    <t>CP05</t>
  </si>
  <si>
    <t>Click boton "Ver curso"</t>
  </si>
  <si>
    <t>CP06</t>
  </si>
  <si>
    <t>Click boton en Enviar sin poner correo</t>
  </si>
  <si>
    <t>CP07</t>
  </si>
  <si>
    <t>Ingresar correo inválido</t>
  </si>
  <si>
    <t>CP08</t>
  </si>
  <si>
    <t>Programacion Facil  (Funcionales)</t>
  </si>
  <si>
    <t>Click  boton Html</t>
  </si>
  <si>
    <t>CP09</t>
  </si>
  <si>
    <t>Click  boton JavaScript</t>
  </si>
  <si>
    <t>CP10</t>
  </si>
  <si>
    <t>Click boton Python</t>
  </si>
  <si>
    <t>CP11</t>
  </si>
  <si>
    <t>Mostrar descripción del curso al hacer click en la imagen</t>
  </si>
  <si>
    <t>CP12</t>
  </si>
  <si>
    <t>El sistema no cuenta con un modulo de autenticacion</t>
  </si>
  <si>
    <t>CP13</t>
  </si>
  <si>
    <t>Usabilidad</t>
  </si>
  <si>
    <t xml:space="preserve">Programacion Facil  </t>
  </si>
  <si>
    <t>Mensaje de error claro</t>
  </si>
  <si>
    <t>CP14</t>
  </si>
  <si>
    <t>¿El menú es fácil de encontrar?</t>
  </si>
  <si>
    <t>CP15</t>
  </si>
  <si>
    <t>Consistencia entre páginas</t>
  </si>
  <si>
    <t>CP16</t>
  </si>
  <si>
    <t xml:space="preserve"> Navegar entre páginas.</t>
  </si>
  <si>
    <t>CP17</t>
  </si>
  <si>
    <t>Contraste adecuado</t>
  </si>
  <si>
    <t>CP18</t>
  </si>
  <si>
    <t>Imagenes</t>
  </si>
  <si>
    <t>CP19</t>
  </si>
  <si>
    <t>Fácil de usar en móvil</t>
  </si>
  <si>
    <t>CP20</t>
  </si>
  <si>
    <t>Fácil de usar en Ipad</t>
  </si>
  <si>
    <t>CP21</t>
  </si>
  <si>
    <t>Fácil de usar en MacOS</t>
  </si>
  <si>
    <t>CP22</t>
  </si>
  <si>
    <t>Fácil de usar en Windows</t>
  </si>
  <si>
    <t>CP23</t>
  </si>
  <si>
    <t>Tiempo de comprensión</t>
  </si>
  <si>
    <t>CP24</t>
  </si>
  <si>
    <t>El usuario no recibe confirmación de envío</t>
  </si>
  <si>
    <t>CP25</t>
  </si>
  <si>
    <t>Rendimiento</t>
  </si>
  <si>
    <t>CP26</t>
  </si>
  <si>
    <t>CP27</t>
  </si>
  <si>
    <t>CP28</t>
  </si>
  <si>
    <t>CP29</t>
  </si>
  <si>
    <t>CP30</t>
  </si>
  <si>
    <t>Click boton en "todos"</t>
  </si>
  <si>
    <t>CP31</t>
  </si>
  <si>
    <t>Click boton Html</t>
  </si>
  <si>
    <t>CP32</t>
  </si>
  <si>
    <t>Click boton JavaScript</t>
  </si>
  <si>
    <t>CP33</t>
  </si>
  <si>
    <t>CP34</t>
  </si>
  <si>
    <t>Click boton "Enviar"</t>
  </si>
  <si>
    <t xml:space="preserve">
</t>
  </si>
  <si>
    <t>ESTIMACIÓN – PRUEBAS FUNCIONALES</t>
  </si>
  <si>
    <t>Parámetros</t>
  </si>
  <si>
    <t>Número de horas planeadas por día</t>
  </si>
  <si>
    <t>Complejidad - Parámetros de diseño casos de prueba en horas</t>
  </si>
  <si>
    <t>Complejidad- Parámetros de ejecución en horas</t>
  </si>
  <si>
    <t>Condición</t>
  </si>
  <si>
    <t>Baja</t>
  </si>
  <si>
    <t>Medio</t>
  </si>
  <si>
    <t>Alta</t>
  </si>
  <si>
    <t>Nuevo</t>
  </si>
  <si>
    <t>x</t>
  </si>
  <si>
    <t>Cantidad casos de prueba a Diseñar</t>
  </si>
  <si>
    <t>Cantidad casos de prueba a Ejecutar</t>
  </si>
  <si>
    <t>Alto</t>
  </si>
  <si>
    <t>Total casos a diseñar</t>
  </si>
  <si>
    <t>Click boton menu "inicio</t>
  </si>
  <si>
    <t>Click boton menu "cursos"</t>
  </si>
  <si>
    <t>Click boton menu "contacto"</t>
  </si>
  <si>
    <t>Click boton "Explorar cursos"</t>
  </si>
  <si>
    <t>Click en enviar sin poner correo</t>
  </si>
  <si>
    <t>Ingresar correo invalido</t>
  </si>
  <si>
    <t>Click boton "HTML"</t>
  </si>
  <si>
    <t>Click boton"JavaScript"</t>
  </si>
  <si>
    <t>Click boton"Python"</t>
  </si>
  <si>
    <t>Mostrar descripción del curso al hacer click</t>
  </si>
  <si>
    <t>Navegar entre páginas.</t>
  </si>
  <si>
    <t>Click boton "Todos"</t>
  </si>
  <si>
    <t>Total CP</t>
  </si>
  <si>
    <t>Estimación</t>
  </si>
  <si>
    <t xml:space="preserve">Nota </t>
  </si>
  <si>
    <t>Completar las celdas en gris, si es necesario insertar celdas para adicionar actividades o funcionalidades</t>
  </si>
  <si>
    <t>Total esfuerzo estimado (horas)</t>
  </si>
  <si>
    <t>Total esfuerzo 
más probable (horas)</t>
  </si>
  <si>
    <t xml:space="preserve">Número de Recursos </t>
  </si>
  <si>
    <t>Total Días</t>
  </si>
  <si>
    <t>Análisis</t>
  </si>
  <si>
    <t>Visión (Reuniones de entendimiento, estudio de la documentación, capacitaciones)</t>
  </si>
  <si>
    <t>Analista QA</t>
  </si>
  <si>
    <t>Estimación de tiempos / identificacion /</t>
  </si>
  <si>
    <t>Elaboración plan de pruebas y cronograma</t>
  </si>
  <si>
    <t>Gestión de los escenarios de pruebas</t>
  </si>
  <si>
    <t>Click menu "inicio"</t>
  </si>
  <si>
    <t>Click "cursos"</t>
  </si>
  <si>
    <t>Click "Contacto"</t>
  </si>
  <si>
    <t>Click "Explorar Cursos"</t>
  </si>
  <si>
    <t>Click "Ver curso"</t>
  </si>
  <si>
    <t>Clic en Enviar sin poner correo</t>
  </si>
  <si>
    <t>Click Html</t>
  </si>
  <si>
    <t>Click JavaScript</t>
  </si>
  <si>
    <t>Click Python</t>
  </si>
  <si>
    <t>Fácil de usar en McOS</t>
  </si>
  <si>
    <t>Click en "todos"</t>
  </si>
  <si>
    <t>Click "Enviar"</t>
  </si>
  <si>
    <t>Presentación de cierre del proyecto</t>
  </si>
  <si>
    <t>Total tiempo estimado de pruebas</t>
  </si>
  <si>
    <t>Notas:</t>
  </si>
  <si>
    <t>SET DETALLADO DE CASOS DE PRUEBA</t>
  </si>
  <si>
    <t>Fecha Creación o Modificación del Caso</t>
  </si>
  <si>
    <t>Caso Reutilizado</t>
  </si>
  <si>
    <t>Asignado</t>
  </si>
  <si>
    <t>Prioridad</t>
  </si>
  <si>
    <t>Clasificación</t>
  </si>
  <si>
    <t>Nombre Caso de Prueba</t>
  </si>
  <si>
    <t>Descripción Caso Prueba</t>
  </si>
  <si>
    <t>Precondiciones</t>
  </si>
  <si>
    <t>Paso a Paso</t>
  </si>
  <si>
    <t>Resultado Esperado</t>
  </si>
  <si>
    <t>N/A</t>
  </si>
  <si>
    <t>Allison Osorio y Santiago Chaves Martinez</t>
  </si>
  <si>
    <t>Programacion facil</t>
  </si>
  <si>
    <t>Validar que el botón Inicio navegue correctamente a la página principal.</t>
  </si>
  <si>
    <t>1. Ingresar a la URL del sitio</t>
  </si>
  <si>
    <t>1. Abrir navegador.
2. Ingresar a la URL.
3. Hacer click en el boton menú “Inicio”.</t>
  </si>
  <si>
    <t>Se carga correctamente la página de inicio.</t>
  </si>
  <si>
    <t>Validar que el botón Cursos dirija al listado de cursos</t>
  </si>
  <si>
    <t>1. Ingresar al la pagina programacion facil</t>
  </si>
  <si>
    <t>1. Abrir la pagina web
2. Click en el botón “Cursos”.</t>
  </si>
  <si>
    <t>Se muestra correctamente la página con todos los cursos.</t>
  </si>
  <si>
    <t>Validar que se abra el formulario  de contacto.</t>
  </si>
  <si>
    <t>1.Ingresar al la pagina programacion facil</t>
  </si>
  <si>
    <t>1. Abrir pagina web
2. Click en el botón “Contacto”.</t>
  </si>
  <si>
    <t>Se despliega correctamente la sección de contacto.</t>
  </si>
  <si>
    <t>Click  boton "Explorar cursos"</t>
  </si>
  <si>
    <t>Validar que el botón lleve al usuario al listado general de cursos.</t>
  </si>
  <si>
    <t>1. Estar en la página principal</t>
  </si>
  <si>
    <t>1. Abrir  pagina web
2. Click en el botón “Explorar Cursos”.</t>
  </si>
  <si>
    <t xml:space="preserve"> Se muestra correctamente la sección de cursos</t>
  </si>
  <si>
    <t>Validar que la vista del curso se abra correctamente.</t>
  </si>
  <si>
    <t>1.Tener lista de cursos en pantalla.</t>
  </si>
  <si>
    <t>1. Ir a Cursos.
2. Seleccionar cualquier curso.
3. Click en el botón “Ver Curso”.</t>
  </si>
  <si>
    <t xml:space="preserve">Dirige a un curso de youtube </t>
  </si>
  <si>
    <t>Validar que el formulario muestre error al intentar enviar sin correo.</t>
  </si>
  <si>
    <t>1. Estar en la sección Contacto.</t>
  </si>
  <si>
    <t>1. Dejar campo correo vacío.
2. Click en el botón “Enviar”.</t>
  </si>
  <si>
    <t>1. Debe aparecer mensaje: “El correo es obligatorio”.
2. No se envía nada.</t>
  </si>
  <si>
    <t>Validar que no se permita enviar correo con formato incorrecto.</t>
  </si>
  <si>
    <t>1. Estar en Contacto.</t>
  </si>
  <si>
    <t>1. Ingresar correo inválido.
2. Click en el botón “Enviar”.</t>
  </si>
  <si>
    <t xml:space="preserve">Debe aparecer mensaje: “Correo inválido” y no dejar enviar el formulario </t>
  </si>
  <si>
    <t>Validar el funcionamiento del boton de HTML</t>
  </si>
  <si>
    <t>1.Estar en la pagina de cursos</t>
  </si>
  <si>
    <t>1.Click en boton "HTML"</t>
  </si>
  <si>
    <t>Se debe mostra la informacion de el curso de html</t>
  </si>
  <si>
    <t>Click  boton"JavaScript"</t>
  </si>
  <si>
    <t>Validar el funcionamiento del boton de JavaScript</t>
  </si>
  <si>
    <t>1.Click en boton "JavaScript"</t>
  </si>
  <si>
    <t>Se debe mostra la informacion de el curso de JavaScript</t>
  </si>
  <si>
    <t>Media</t>
  </si>
  <si>
    <t>Click  boton"Python"</t>
  </si>
  <si>
    <t>Validar el funcionamiento del boton de Python</t>
  </si>
  <si>
    <t>1.Click en boton "Python"</t>
  </si>
  <si>
    <t>Se debe mostra la informacion de el curso de python</t>
  </si>
  <si>
    <t xml:space="preserve">Mostrar descripción del curso al hacer click en la imagen </t>
  </si>
  <si>
    <t>Validar que al hacer click en la tarjeta o imagen del curso, se despliegue una descripción o información del contenido del curso.</t>
  </si>
  <si>
    <t>1.Estar en la sección Cursos Disponibles donde aparecen las tarjetas de HTML, JavaScript y Python</t>
  </si>
  <si>
    <t>1. Ingresar a la URL del sitio.
2. Ir al menú “Cursos”.
3. Ubicar las tarjetas de cursos.
4. Hacer clic sobre la imagen o el contenedor del curso.</t>
  </si>
  <si>
    <t>Debe aparecer una descripción del curso (texto emergente, modal, despliegue debajo, o redirección a una página detallada)</t>
  </si>
  <si>
    <t>El sistema no cuenta con módulo de autenticación (login/registro).</t>
  </si>
  <si>
    <t xml:space="preserve">1. Ingresar a la URL del sitio.
</t>
  </si>
  <si>
    <t>Que exista un login para controlar acceso y usuarios.</t>
  </si>
  <si>
    <t>Validar que los errores sean comprensibles y visibles.</t>
  </si>
  <si>
    <t>1. Ingresar a la pagina de contacto</t>
  </si>
  <si>
    <t xml:space="preserve">  1. Ingresar datos                                           2. Enviar sin correo.
3. Enviar correo inválido.</t>
  </si>
  <si>
    <t>Mensajes visibles, claros y específicos.</t>
  </si>
  <si>
    <t>Validar que el menú sea fácil de encontrar y usar.</t>
  </si>
  <si>
    <t>1.Ingresar a la pagina web</t>
  </si>
  <si>
    <t>1. Observar la página inicial.
2. Localizar menú</t>
  </si>
  <si>
    <t>El menú se identifica en menos de 3 segundos.</t>
  </si>
  <si>
    <t>Validar que las páginas mantengan el mismo estilo visual.</t>
  </si>
  <si>
    <t>1.Ingresar a la pagina programacion facil</t>
  </si>
  <si>
    <t>Navegar por todas las secciones.</t>
  </si>
  <si>
    <t>Colores, tipografías y botones son coherentes y sirven correctamente</t>
  </si>
  <si>
    <t>Validar que el usuario pueda navegar sin errores.</t>
  </si>
  <si>
    <t>1. Ir a Cursos.
2. Ir a Contacto.
3. Ir a Inicio.
4. Usar botón Atrás.</t>
  </si>
  <si>
    <t>Navegación sin errores ni recargas innecesarias.</t>
  </si>
  <si>
    <t>Validar accesibilidad mediante contraste</t>
  </si>
  <si>
    <t>1.Ingresar a la pagina programacion facil                                                                            2.Ingresar a cualquier seccion</t>
  </si>
  <si>
    <t>1. Revisar texto y botones.</t>
  </si>
  <si>
    <t>El sitio cumple proporciones mínimas de contraste.</t>
  </si>
  <si>
    <t>Validar que todas las imágenes del sitio carguen correctamente y no estén pixeladas o rotas.</t>
  </si>
  <si>
    <t xml:space="preserve">   1.Ingresar a la pagina web"programacion facil"                                                              2.Tener una Conexión estable.</t>
  </si>
  <si>
    <t>1. Ingresar a la pagina "programacion facil"
2. Navegar por todas las secciones (Inicio, Cursos, Ver Curso).</t>
  </si>
  <si>
    <t>Todas las imágenes deben mostrarse correctamente sin errores, sin pixeles visibles y con tamaño adecuado.</t>
  </si>
  <si>
    <t>Validar que la versión móvil mantenga la funcionalidad completa.</t>
  </si>
  <si>
    <t>1.Ingresar a la pagina web"programacion facil"                                                                          2.Revisar en una vista responsive del navegador.</t>
  </si>
  <si>
    <t>1. Abrir el sitio desde un modo responsive.
2. Probar menú, cursos, botones, contacto.</t>
  </si>
  <si>
    <t>Todo debe mostrarse sin sobreposición de elementos y los botones deben ser clicables.</t>
  </si>
  <si>
    <t>Verificar compatibilidad y correcta visualización en dispositivos tablet.</t>
  </si>
  <si>
    <t>1.Ingresar a la pagina web"programacion facil"                                                                          2.Revisar en una vista responsive del navegador en un ipad.</t>
  </si>
  <si>
    <t>1. Abrir el responsive
2. Navegar y probar los mismos botones.</t>
  </si>
  <si>
    <t>La distribución debe ajustarse correctamente al tamaño tablet</t>
  </si>
  <si>
    <t>Verificar compatibilidad general del sitio con navegadores del sistema Mac.</t>
  </si>
  <si>
    <t xml:space="preserve">1.Ingresar a la pagina web"programacion facil"  desde un dispositivo Mac                                                                      </t>
  </si>
  <si>
    <t>1. Abrir el navegador.
2. Ingresar al index.
3. Navegar por todo el sitio.</t>
  </si>
  <si>
    <t>El sitio debe funcionar sin errores visuales o funcionales.</t>
  </si>
  <si>
    <t>Validar compatibilidad en navegadores de Windows.</t>
  </si>
  <si>
    <t>1.Ingresar a la pagina web"programacion facil"  desde un PC windows</t>
  </si>
  <si>
    <t>1. Abrir navegador.
2. Acceder al sitio.</t>
  </si>
  <si>
    <t>El sitio debe verse y funcionar correctamente en Chrome, Edge o Firefox.</t>
  </si>
  <si>
    <t>Validar que el usuario entienda rápidamente qué ofrece el sitio y cómo navegarlo.</t>
  </si>
  <si>
    <t xml:space="preserve">1.Ingresar a la pagina web </t>
  </si>
  <si>
    <t>1. Entrar a la pagina web.
2. Observar textos, botones e información.</t>
  </si>
  <si>
    <t>En menos de 5–8 segundos el usuario debe identificar qué ofrece la página y cómo navegar.</t>
  </si>
  <si>
    <t>Validar si el sitio informa claramente al usuario que el formulario se envió.</t>
  </si>
  <si>
    <t>1.Ingresar a la pagina web"programacion facil"                                                                    2.Ingresar al formulario de contactos</t>
  </si>
  <si>
    <t>1. Ingresar datos válidos.
2. Click en “Enviar”.</t>
  </si>
  <si>
    <t>El sistema debe mostrar un mensaje de confirmación; si no lo muestra, se reporta como fallo de usabilidad.</t>
  </si>
  <si>
    <t>Medir tiempo de respuesta al presionar el botón "Explorar cursos".</t>
  </si>
  <si>
    <t xml:space="preserve">1.Ingresar a la pagina web                                    </t>
  </si>
  <si>
    <t>1. Abrir la URL de la pagina web
2. Click en el botón “Explorar Cursos”</t>
  </si>
  <si>
    <t>1. Tiempo de carga debe ser de 20 ms aproximadamente
2. Cursos visibles sin retrasos.</t>
  </si>
  <si>
    <t>Click  boton "cursos"</t>
  </si>
  <si>
    <t>Medir tiempo de respuesta al presionar el botón " cursos".</t>
  </si>
  <si>
    <t>1. Click en el botón “Cursos”.</t>
  </si>
  <si>
    <t>Tiempo de carga para mostrar los cursos de la pagina debe ser de 16 ms aproximadamente</t>
  </si>
  <si>
    <t>Click  boton"Contacto"</t>
  </si>
  <si>
    <t>Medir tiempo de respuesta al presionar el botón "Contacto".</t>
  </si>
  <si>
    <t>1. Click en el botón “Contacto”.</t>
  </si>
  <si>
    <t>Tiempo de carga para mostrar el formulario de contactos de la pagina debe ser de 20 ms aproximadamente</t>
  </si>
  <si>
    <t>Click  boton "Ver curso"</t>
  </si>
  <si>
    <t>Medir tiempo de respuesta al presionar el botón "Ver cursos".</t>
  </si>
  <si>
    <t>1. Click en boton de "Ver cursos".</t>
  </si>
  <si>
    <t>Tiempo de carga para mostrar el video del curso debe ser de 60 ms aproximadamente</t>
  </si>
  <si>
    <t>Click  boton menu "inicio"</t>
  </si>
  <si>
    <t>Medir tiempo de respuesta al presionar el botón "Inicio".</t>
  </si>
  <si>
    <t>1. Click en boton de "Inicio".</t>
  </si>
  <si>
    <t>Tiempo de carga para mostrar el inicio de la pagina debe ser de 30 ms aproximadamente</t>
  </si>
  <si>
    <t>Click  boton en "todos"</t>
  </si>
  <si>
    <t>Medir tiempo de respuesta al presionar el botón "Todos".</t>
  </si>
  <si>
    <t>1.Ingresar a la pagina web                                        2.Ingresar a cursos</t>
  </si>
  <si>
    <t>1. Click en boton de "Todos".</t>
  </si>
  <si>
    <t>Tiempo de carga para mostrar todos los cursos de la pagina debe ser de 20 ms aproximadamente</t>
  </si>
  <si>
    <t>Click  boton "Html"</t>
  </si>
  <si>
    <t>Medir tiempo de respuesta al presionar el botón "HTML".</t>
  </si>
  <si>
    <t>1. Click en boton de "HTML".</t>
  </si>
  <si>
    <r>
      <rPr>
        <sz val="12"/>
        <color rgb="FF000000"/>
        <rFont val="Calibri"/>
        <scheme val="minor"/>
      </rPr>
      <t xml:space="preserve">Tiempo de carga para mostrar el curso de </t>
    </r>
    <r>
      <rPr>
        <b/>
        <sz val="12"/>
        <color rgb="FF000000"/>
        <rFont val="Calibri"/>
        <scheme val="minor"/>
      </rPr>
      <t xml:space="preserve">html </t>
    </r>
    <r>
      <rPr>
        <sz val="12"/>
        <color rgb="FF000000"/>
        <rFont val="Calibri"/>
        <scheme val="minor"/>
      </rPr>
      <t>de la pagina debe ser de 15 ms aproximadamente</t>
    </r>
  </si>
  <si>
    <t>Click boton "JavaScript"</t>
  </si>
  <si>
    <t>Medir tiempo de respuesta al presionar el botón "JavaScript".</t>
  </si>
  <si>
    <t>1. Click en boton de "JavaScript".</t>
  </si>
  <si>
    <r>
      <rPr>
        <sz val="12"/>
        <color rgb="FF000000"/>
        <rFont val="Calibri"/>
        <scheme val="minor"/>
      </rPr>
      <t xml:space="preserve">Tiempo de carga para mostrar el curso de </t>
    </r>
    <r>
      <rPr>
        <b/>
        <sz val="12"/>
        <color rgb="FF000000"/>
        <rFont val="Calibri"/>
        <scheme val="minor"/>
      </rPr>
      <t xml:space="preserve">JavaScript </t>
    </r>
    <r>
      <rPr>
        <sz val="12"/>
        <color rgb="FF000000"/>
        <rFont val="Calibri"/>
        <scheme val="minor"/>
      </rPr>
      <t>de la pagina debe ser de 10 ms aproximadamente</t>
    </r>
  </si>
  <si>
    <t>Medir tiempo de respuesta al presionar el botón "Python".</t>
  </si>
  <si>
    <t>1. Click en boton de "Python".</t>
  </si>
  <si>
    <r>
      <rPr>
        <sz val="12"/>
        <color rgb="FF000000"/>
        <rFont val="Calibri"/>
        <scheme val="minor"/>
      </rPr>
      <t xml:space="preserve">Tiempo de carga para mostrar el curso de </t>
    </r>
    <r>
      <rPr>
        <b/>
        <sz val="12"/>
        <color rgb="FF000000"/>
        <rFont val="Calibri"/>
        <scheme val="minor"/>
      </rPr>
      <t xml:space="preserve">python </t>
    </r>
    <r>
      <rPr>
        <sz val="12"/>
        <color rgb="FF000000"/>
        <rFont val="Calibri"/>
        <scheme val="minor"/>
      </rPr>
      <t>de la pagina debe ser de 10 ms aproximadamente</t>
    </r>
  </si>
  <si>
    <t>Medir tiempo de respuesta al presionar el botón "Enviar".</t>
  </si>
  <si>
    <t>1.Ingresar a la pagina web                                        2.Ingresar al formulario de contacto</t>
  </si>
  <si>
    <t>1. Click en boton de "Enviar".</t>
  </si>
  <si>
    <t>Tiempo de carga para enviar un formulario  debe ser de 15 s aproximadamente</t>
  </si>
  <si>
    <t>Gestión Acta de Entrega de Software</t>
  </si>
  <si>
    <t>Fecha de Instalación</t>
  </si>
  <si>
    <t>Paquete de SW</t>
  </si>
  <si>
    <t>Versión</t>
  </si>
  <si>
    <t>Componente</t>
  </si>
  <si>
    <t>Desarrollador</t>
  </si>
  <si>
    <t>Tipo</t>
  </si>
  <si>
    <t>Estado</t>
  </si>
  <si>
    <t>Observaciones</t>
  </si>
  <si>
    <t>CC SOL01478 Mejoramiento de Vivienda - Recogesaldo</t>
  </si>
  <si>
    <t>MW3326_OSB12C_OperacionesComunesSiebelV2EXP_CC_SOL01365_CC_SOL01040_CC_SOL01479_RadicacionUPNF_1</t>
  </si>
  <si>
    <t>Middleware</t>
  </si>
  <si>
    <t>José Limberto Arrieta
Julian Orjuela
Oscar Moreno</t>
  </si>
  <si>
    <t>Protocolo</t>
  </si>
  <si>
    <t>En Producción</t>
  </si>
  <si>
    <t>MW3330_OSB12C_ComplementosHipotecarioSiebel_CC_CC SOL01478_1</t>
  </si>
  <si>
    <t>José Limberto Arrieta</t>
  </si>
  <si>
    <t>QACEN7333-E8</t>
  </si>
  <si>
    <t>Tareas Automáticas</t>
  </si>
  <si>
    <t>Andres Ramirez</t>
  </si>
  <si>
    <t>QACRM0181-E18</t>
  </si>
  <si>
    <t>Andrea Arevalo</t>
  </si>
  <si>
    <t>STAR4U0686_CC_SOL01478_Mejor_Viv_RecSald_1</t>
  </si>
  <si>
    <t>Star4U</t>
  </si>
  <si>
    <t>Tatiana Correa</t>
  </si>
  <si>
    <t>STRLT0584_CC_SOL01420_Cambio_Prioridad_2</t>
  </si>
  <si>
    <t>Angel Mauricio Soto</t>
  </si>
  <si>
    <t>Entrega de SW</t>
  </si>
  <si>
    <t>En pruebas</t>
  </si>
  <si>
    <t>INFORME DE CIERRE</t>
  </si>
  <si>
    <t>Tipo de Certificación</t>
  </si>
  <si>
    <t xml:space="preserve">Certificación </t>
  </si>
  <si>
    <t>Condicionada</t>
  </si>
  <si>
    <t>Certificada 100%</t>
  </si>
  <si>
    <t>X</t>
  </si>
  <si>
    <t>Se cumplieron los objetivos de negocio</t>
  </si>
  <si>
    <t>Si</t>
  </si>
  <si>
    <t>No</t>
  </si>
  <si>
    <t>Reporte de Desfases</t>
  </si>
  <si>
    <t>Fecha Inicio de la prueba</t>
  </si>
  <si>
    <t>Fecha Fin de la prueba</t>
  </si>
  <si>
    <t>Tiempo sin Probar por Documentación</t>
  </si>
  <si>
    <t>Tiempo sin Probar por Indisponibilidad del ambiente</t>
  </si>
  <si>
    <t>Tiempo sin Probar por otras prioridades</t>
  </si>
  <si>
    <t>Tiempo real de pruebas (Etapa Ejecución)</t>
  </si>
  <si>
    <t>Tiempo otras Causales de desfase</t>
  </si>
  <si>
    <t>Tiempo Total de Pruebas</t>
  </si>
  <si>
    <t>Horas Planeadas Proyecto</t>
  </si>
  <si>
    <t>Desfase</t>
  </si>
  <si>
    <t>Causal de Desfase</t>
  </si>
  <si>
    <t>Horas</t>
  </si>
  <si>
    <t>Fecha</t>
  </si>
  <si>
    <t>Observación</t>
  </si>
  <si>
    <t>Atrazo por incumplimiento de fechas en la entrega de los desarrollos</t>
  </si>
  <si>
    <t>05/05/2023
10/05/2023</t>
  </si>
  <si>
    <t>* 2 Horas de retrazo en la entrega y despliegue del desarrollo
* 2 Horas de desfase por error en la instalación</t>
  </si>
  <si>
    <t>Indisponibilidad del ambiente</t>
  </si>
  <si>
    <t>* Se presentan 5 reinicios del ambiente de pruebas</t>
  </si>
  <si>
    <t>Reprocesos por inyección de errores en la etapa de pruebas</t>
  </si>
  <si>
    <t>Retraso en a solución de incidentes que impidan cerrar los casos de prueba de tipo bloqueante</t>
  </si>
  <si>
    <t>Errores en la instalación del sw que impliquen reprocesos en pruebas</t>
  </si>
  <si>
    <t>Cambio de prioridad</t>
  </si>
  <si>
    <t>* Se realiza cambio de prioridad por solicitud de la coordinación de pruebas del Banco</t>
  </si>
  <si>
    <t>Documentación incompleta</t>
  </si>
  <si>
    <t>* No se entrega toda la documentación requerida para poder determinar el alcance y realizar la estimación.</t>
  </si>
  <si>
    <t>Prerrequisitos mínimos para el inicio de pruebas</t>
  </si>
  <si>
    <t>Total Horas de Desfase</t>
  </si>
  <si>
    <t>Retest plan de Pruebas</t>
  </si>
  <si>
    <t>Número de Ejecuciones</t>
  </si>
  <si>
    <t>Casos ejecutados</t>
  </si>
  <si>
    <t>Ejecución Corrida 1</t>
  </si>
  <si>
    <t>Ejecución Corrida 2</t>
  </si>
  <si>
    <t>Ejecución Corrida 3</t>
  </si>
  <si>
    <t>Gestión de Incidentes</t>
  </si>
  <si>
    <t>Total defectos</t>
  </si>
  <si>
    <t>Defecto</t>
  </si>
  <si>
    <t>Hallazgo</t>
  </si>
  <si>
    <t>Mejora</t>
  </si>
  <si>
    <t>Impacto</t>
  </si>
  <si>
    <t>Bajo - C</t>
  </si>
  <si>
    <t>Medio - B</t>
  </si>
  <si>
    <t>Alto - A</t>
  </si>
  <si>
    <t>Severo - AA</t>
  </si>
  <si>
    <t>Requisitos</t>
  </si>
  <si>
    <t>Instalación</t>
  </si>
  <si>
    <t>Construcción</t>
  </si>
  <si>
    <t>Operación</t>
  </si>
  <si>
    <t>Cerrado</t>
  </si>
  <si>
    <t>Devuelto</t>
  </si>
  <si>
    <t>Monitoreo</t>
  </si>
  <si>
    <t>SFR</t>
  </si>
  <si>
    <t>Naturaleza</t>
  </si>
  <si>
    <t>Documentación</t>
  </si>
  <si>
    <t>Parametrización</t>
  </si>
  <si>
    <t>Ambiente</t>
  </si>
  <si>
    <t>Datos</t>
  </si>
  <si>
    <t>Performance</t>
  </si>
  <si>
    <t>Seguridad</t>
  </si>
  <si>
    <t>Efectividad</t>
  </si>
  <si>
    <t>Numero de reaperturas</t>
  </si>
  <si>
    <t>Errores inyectados</t>
  </si>
  <si>
    <t>Entregable</t>
  </si>
  <si>
    <t>Estado Ejecución</t>
  </si>
  <si>
    <t>Prioridad - impacto</t>
  </si>
  <si>
    <t>Estado Acta</t>
  </si>
  <si>
    <t>Tipo de Acta</t>
  </si>
  <si>
    <t>Analistas</t>
  </si>
  <si>
    <t>Responsable desfase</t>
  </si>
  <si>
    <t>Etapas de Pruebas</t>
  </si>
  <si>
    <t>Retest</t>
  </si>
  <si>
    <t>Categoria Incidencias</t>
  </si>
  <si>
    <t>Único</t>
  </si>
  <si>
    <t>BLOQUEADO</t>
  </si>
  <si>
    <t>NO</t>
  </si>
  <si>
    <t>Devuelta</t>
  </si>
  <si>
    <t>Incapacidad</t>
  </si>
  <si>
    <t>Especificación</t>
  </si>
  <si>
    <t>Tabla Avace por funcionalidad</t>
  </si>
  <si>
    <t>E1</t>
  </si>
  <si>
    <t>EXITOSO</t>
  </si>
  <si>
    <t>SI</t>
  </si>
  <si>
    <t>Adriana Maria Ortiz Arias</t>
  </si>
  <si>
    <t>Licencias</t>
  </si>
  <si>
    <t>Desarrollo</t>
  </si>
  <si>
    <t>Exitoso</t>
  </si>
  <si>
    <t>Preexistencia/Ambientes</t>
  </si>
  <si>
    <t>Tipo de incidencia</t>
  </si>
  <si>
    <t>Categoria</t>
  </si>
  <si>
    <t>Incidencias actuales</t>
  </si>
  <si>
    <t>Total historico</t>
  </si>
  <si>
    <t xml:space="preserve">Atribuido </t>
  </si>
  <si>
    <t>E2</t>
  </si>
  <si>
    <t>FALLIDO</t>
  </si>
  <si>
    <t>Gestionada</t>
  </si>
  <si>
    <t>Albert Conde</t>
  </si>
  <si>
    <t>Calamidades</t>
  </si>
  <si>
    <t>Proveedor</t>
  </si>
  <si>
    <t>Fallido</t>
  </si>
  <si>
    <t>Sugerencia/Mejora</t>
  </si>
  <si>
    <t>Líder de Negocio</t>
  </si>
  <si>
    <t>Error</t>
  </si>
  <si>
    <t>Cuenta de Canal/Funcionalidad/HU</t>
  </si>
  <si>
    <t>Etiquetas de columna</t>
  </si>
  <si>
    <t>E3</t>
  </si>
  <si>
    <t>APAGADO</t>
  </si>
  <si>
    <t>Alexis Cordoba Betancourt</t>
  </si>
  <si>
    <t>Problemas con el mantis y el testlink</t>
  </si>
  <si>
    <t>Pregunta/Aclaración/Conocimiento</t>
  </si>
  <si>
    <t>CP POR EJECUTAR</t>
  </si>
  <si>
    <t>TOTAL CP</t>
  </si>
  <si>
    <t>E4</t>
  </si>
  <si>
    <t>En Instalación</t>
  </si>
  <si>
    <t>Alvaro Nieto Rojas</t>
  </si>
  <si>
    <t>Reprocesos en ejecución de casos de prueba</t>
  </si>
  <si>
    <t>Infraestructura-QA</t>
  </si>
  <si>
    <t>Interfaz</t>
  </si>
  <si>
    <t>HU548Transferencias propias</t>
  </si>
  <si>
    <t>E5</t>
  </si>
  <si>
    <t>Anderson Johan Guerrero Jején</t>
  </si>
  <si>
    <t>Planeación no efectiva para la asignación de proyectos</t>
  </si>
  <si>
    <t>Negocio</t>
  </si>
  <si>
    <t>Parámetro</t>
  </si>
  <si>
    <t>General</t>
  </si>
  <si>
    <t>S1</t>
  </si>
  <si>
    <t>Andres Felipe Devia Muñoz</t>
  </si>
  <si>
    <t>Falta de gestión de usuarios en la Planeación</t>
  </si>
  <si>
    <t>Infraestructura UAC</t>
  </si>
  <si>
    <t>Desempeño</t>
  </si>
  <si>
    <t>Preexistencia</t>
  </si>
  <si>
    <t>HU549Transferencias a terceros</t>
  </si>
  <si>
    <t>S2</t>
  </si>
  <si>
    <t>Angie Nairovy Orjuela Sanchez</t>
  </si>
  <si>
    <t>Gestión y apoyo a desarrollo</t>
  </si>
  <si>
    <t>Desarrollo/proveedor</t>
  </si>
  <si>
    <t>Sugerencia o mejora</t>
  </si>
  <si>
    <t>Portal Web Banca Empresas</t>
  </si>
  <si>
    <t>S3</t>
  </si>
  <si>
    <t>Astrid Carolina Tierradentro S</t>
  </si>
  <si>
    <t>Espera de solución de incidentes Bloqueantes o stopper</t>
  </si>
  <si>
    <t>Aclaración/Pregunta</t>
  </si>
  <si>
    <t>Configuración débito automático</t>
  </si>
  <si>
    <t>S4</t>
  </si>
  <si>
    <t>Bayron Felipe Rodriguez Carrillo</t>
  </si>
  <si>
    <t>Falta de asignación lider técnico en atención de proyecto en pruebas</t>
  </si>
  <si>
    <t>S5</t>
  </si>
  <si>
    <t>Brandon Abraham Amaya Castillo</t>
  </si>
  <si>
    <t>Formas sin desplegar en el ambiente por la entrega realizada</t>
  </si>
  <si>
    <t>Severidad de los inicidentes</t>
  </si>
  <si>
    <t>S6</t>
  </si>
  <si>
    <t>Camilo Mamian Becerra</t>
  </si>
  <si>
    <t>Cambios de las formas sin Informar</t>
  </si>
  <si>
    <t>Stopper</t>
  </si>
  <si>
    <t>Mayor</t>
  </si>
  <si>
    <t>Menor</t>
  </si>
  <si>
    <t xml:space="preserve">Total </t>
  </si>
  <si>
    <t>S7</t>
  </si>
  <si>
    <t>Carlos Alberto Angel Peña</t>
  </si>
  <si>
    <t>Fallas en el bus de integración</t>
  </si>
  <si>
    <t>S8</t>
  </si>
  <si>
    <t>Carol Julieth Gomez</t>
  </si>
  <si>
    <t>Ejecución de retest (desde el segunto retest)</t>
  </si>
  <si>
    <t>Resuelto</t>
  </si>
  <si>
    <t>S9</t>
  </si>
  <si>
    <t>Carolina Villa Reyes</t>
  </si>
  <si>
    <t>Regresiones no planeadas</t>
  </si>
  <si>
    <t>Reabierto</t>
  </si>
  <si>
    <t>S10</t>
  </si>
  <si>
    <t>Cesar Alejandro Ortiz Mendoza</t>
  </si>
  <si>
    <t>Demoras en la entrega de ambientes</t>
  </si>
  <si>
    <t>Reasignado</t>
  </si>
  <si>
    <t>S11</t>
  </si>
  <si>
    <t>Christian Camilo Aya Jimenez</t>
  </si>
  <si>
    <t>Dependencias en despliegues, actualizaciones y ajustes</t>
  </si>
  <si>
    <t>Banco</t>
  </si>
  <si>
    <t>S12</t>
  </si>
  <si>
    <t>Claudia Lorena Loaiza Anzola</t>
  </si>
  <si>
    <t>Asignación planeada de ingeniero de desarrollo menor al 100%</t>
  </si>
  <si>
    <t>Cancelado</t>
  </si>
  <si>
    <t>S13</t>
  </si>
  <si>
    <t>Cristian David Dominguez Samboni</t>
  </si>
  <si>
    <t>Ambientes compartidos (Cambios de Fecha en la base de datos)</t>
  </si>
  <si>
    <t>Infraestructura</t>
  </si>
  <si>
    <t>TOTAL</t>
  </si>
  <si>
    <t>S14</t>
  </si>
  <si>
    <t>Daniel Felipe Cubillos Acuña</t>
  </si>
  <si>
    <t>Inconvenientes  y caídas de ambiente</t>
  </si>
  <si>
    <t>S15</t>
  </si>
  <si>
    <t>Daniel Felipe Sandoval Solano</t>
  </si>
  <si>
    <t>Caída de red</t>
  </si>
  <si>
    <t>Diana Alejandra Ruiz Pinzón</t>
  </si>
  <si>
    <t>Lentitud de la aplicación  y/o intermitencia de la misma</t>
  </si>
  <si>
    <t>Erika Daniela Vargas Moreno </t>
  </si>
  <si>
    <t>Problemas conexión vpn</t>
  </si>
  <si>
    <t>Fabian Camilo Daza M</t>
  </si>
  <si>
    <t>Problemas con el equipo de Corredores</t>
  </si>
  <si>
    <t>Fanny Amparo Zapata Lopera</t>
  </si>
  <si>
    <t>Problemas de base de datos, no conexión a BD</t>
  </si>
  <si>
    <t>Giovani Lizarazo Fuentes</t>
  </si>
  <si>
    <t>Permisos de administrador en configuraciones necesarias</t>
  </si>
  <si>
    <t>Gloria Esperanza Arana Sanchez</t>
  </si>
  <si>
    <t>Falta de data para las pruebas</t>
  </si>
  <si>
    <t>Heidy Yurani Caicedo Guzmán </t>
  </si>
  <si>
    <t>Alcance no definido y/o diferente al aprobado</t>
  </si>
  <si>
    <t>Jaime Orlando  Vargas Caro</t>
  </si>
  <si>
    <t>Nuevas funcionalidades incluidas</t>
  </si>
  <si>
    <t>Jessica Julieth Lozano Amado</t>
  </si>
  <si>
    <t>Cambios en la documentación y/o artefactos insumo de pruebas</t>
  </si>
  <si>
    <t>Jimmy Alexander Galindo Loaiza</t>
  </si>
  <si>
    <t>Gestión y apoyo a Funcionales</t>
  </si>
  <si>
    <t>John Sebastian Tibaquira Pintor</t>
  </si>
  <si>
    <t>Jonathan Camilo Contreras Tenorio</t>
  </si>
  <si>
    <t>Juan Camilo Martinez Rozo</t>
  </si>
  <si>
    <t>Juan Camilo Ortiz Fajardo</t>
  </si>
  <si>
    <t>Juan Diego Arias Higuita</t>
  </si>
  <si>
    <t>Julian David Ortiz Guerrero</t>
  </si>
  <si>
    <t>Karelys Yeniris Perdomo Lopez</t>
  </si>
  <si>
    <t>Lucas Eduardo Rojas Fierro</t>
  </si>
  <si>
    <t>Luisa Fernanda Merchan Abril</t>
  </si>
  <si>
    <t>Luisa María Pérez Corregidor</t>
  </si>
  <si>
    <t>Marcela Velásquez Baquero</t>
  </si>
  <si>
    <t>Marisol Molina Molina</t>
  </si>
  <si>
    <t>Maryuri Zuluaga Muñoz/Juan Fernando Cordoba</t>
  </si>
  <si>
    <t>Mateo Valencia Cipagauta</t>
  </si>
  <si>
    <t>Miguel Ignacio Rodriguez Suarez</t>
  </si>
  <si>
    <t>Miguel Octavio Paez</t>
  </si>
  <si>
    <t>Monica Tatiana Reyes</t>
  </si>
  <si>
    <t>Neffer Morales Espinosa</t>
  </si>
  <si>
    <t>Oscar Augusto Rocha Mosquera</t>
  </si>
  <si>
    <t>Paulo Emilio Castaneda Salamanca</t>
  </si>
  <si>
    <t>Randy Dixon Osorio Leal</t>
  </si>
  <si>
    <t>Rosa Gricelda Cordoba</t>
  </si>
  <si>
    <t>Ruth Liliana Suarez Suarez</t>
  </si>
  <si>
    <t>Sandra Viviana González</t>
  </si>
  <si>
    <t>Sonia Alexandra Mora Becerra</t>
  </si>
  <si>
    <t>Walther Alejandro Vera Martinez</t>
  </si>
  <si>
    <t>Wilmer Simarra Cañate</t>
  </si>
  <si>
    <t>Wilson Arturo Quevedo Isaza</t>
  </si>
  <si>
    <t>Yarima Patricia Blanco Godoy</t>
  </si>
  <si>
    <t>CONTROL DE CAMBIOS</t>
  </si>
  <si>
    <t> </t>
  </si>
  <si>
    <t xml:space="preserve">Versión </t>
  </si>
  <si>
    <t>Acción tomada</t>
  </si>
  <si>
    <t>Fecha de acción</t>
  </si>
  <si>
    <t>Resumen de cambios</t>
  </si>
  <si>
    <t xml:space="preserve">Responsable de la acción </t>
  </si>
  <si>
    <t>Aprobado por</t>
  </si>
  <si>
    <t>1.0</t>
  </si>
  <si>
    <t>Creación Documento</t>
  </si>
  <si>
    <t>Creación del documento</t>
  </si>
  <si>
    <t>Cordinadora de Pruebas</t>
  </si>
  <si>
    <t>Gerentre de Servicio</t>
  </si>
  <si>
    <t>2.0</t>
  </si>
  <si>
    <t>Modificación Nombre documento</t>
  </si>
  <si>
    <t>Se modifica el nombre del archivo de "Plantilla_Estimación y Plan de Pruebas" a "Gestión de Pruebas"</t>
  </si>
  <si>
    <t>Líder de Frente Operación Diaria</t>
  </si>
  <si>
    <t>3.0</t>
  </si>
  <si>
    <t>Modificación Documento</t>
  </si>
  <si>
    <t>Se ajusta el cálculo de los indicadores en la hoja Balance de pruebas</t>
  </si>
  <si>
    <t>Líder de frente Banca Digital Choucair</t>
  </si>
  <si>
    <t>4.0</t>
  </si>
  <si>
    <t xml:space="preserve">Se optimiza el proceso de gestión de incidentes dentro del archivo y se agrega hoja CSVMantis con una macro para optimizar el proceso </t>
  </si>
  <si>
    <t>TPL Operación Diaria</t>
  </si>
  <si>
    <t>5.0</t>
  </si>
  <si>
    <t xml:space="preserve">Se incluye hoja de control de cambios en la plantilla de la caracterización </t>
  </si>
  <si>
    <t>Analista ingeniería de procesos
Líder de transformación de procesos</t>
  </si>
  <si>
    <t>5.1</t>
  </si>
  <si>
    <t>Actualización cálculo tiempo promedio de ejecución por caso de prueba "Balance de Pruebas"</t>
  </si>
  <si>
    <t>5.2</t>
  </si>
  <si>
    <t>Se incorpora Hoja "Gestión Actas" para el seguimiento de las esntregas de software.</t>
  </si>
  <si>
    <t>5.3</t>
  </si>
  <si>
    <t>Se actualiza hoja "Informe de Cierre" y se optimizan cálculos.</t>
  </si>
  <si>
    <t>5.4</t>
  </si>
  <si>
    <t>Se restructura el archivo en la estimación de tiempos e informe de avance</t>
  </si>
  <si>
    <t>Gerentre de Pruebas de Software y Gerente de Servicio</t>
  </si>
  <si>
    <t>5.5</t>
  </si>
  <si>
    <t>Se restructura el archivo en la estimación de tiempos e informe de avance, se crea hoja de desfases y tabla general</t>
  </si>
  <si>
    <t>INFORME DE AVANCE DIARIO DE PRUEBAS</t>
  </si>
  <si>
    <t>RESUMEN</t>
  </si>
  <si>
    <t>Casos de prueba Diseñados</t>
  </si>
  <si>
    <t>Casos de prueba Ejecutados</t>
  </si>
  <si>
    <t>CP Bloqueados</t>
  </si>
  <si>
    <t>CP exitosos</t>
  </si>
  <si>
    <t>CP Fallidos</t>
  </si>
  <si>
    <t>CP por ejecutar</t>
  </si>
  <si>
    <t>Automaticas</t>
  </si>
  <si>
    <t>Navegacion</t>
  </si>
  <si>
    <t>Filtros</t>
  </si>
  <si>
    <t>Formulario</t>
  </si>
  <si>
    <t>CP35</t>
  </si>
  <si>
    <t>CP36</t>
  </si>
  <si>
    <t>CP37</t>
  </si>
  <si>
    <t>Validar que la navegacion este correcta</t>
  </si>
  <si>
    <t xml:space="preserve">1.Descargar cypress                                        </t>
  </si>
  <si>
    <t>Validar que los filtros funcionen correctamente</t>
  </si>
  <si>
    <t>Validar que el formulario de contacto funcione</t>
  </si>
  <si>
    <t>1. ejecutar cypress desde la terminal o powershell                                                                     2.Abrir cypress en un navegador                               3.Abrir pruebas</t>
  </si>
  <si>
    <t>Funcione la navegacion correctamente,muestra todo en verde</t>
  </si>
  <si>
    <t>Funcione los botones de filtro correctamente y muestra todo en verde</t>
  </si>
  <si>
    <t xml:space="preserve">Funcione el formulario de contacto correctamente y muestre los mensajes de error si ingresan algo 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</si>
</sst>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/mm/h:mm\ AM/PM"/>
  </numFmts>
  <fonts count="8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indexed="10"/>
      <name val="Calibri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11"/>
      <color rgb="FFBFBFBF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4"/>
      <color rgb="FF000000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12"/>
      <color theme="0"/>
      <name val="Arial Black"/>
      <family val="2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0"/>
      <name val="Calibri"/>
      <family val="2"/>
    </font>
    <font>
      <b/>
      <u/>
      <sz val="11"/>
      <color rgb="FF2F5496"/>
      <name val="Arial"/>
      <family val="2"/>
    </font>
    <font>
      <sz val="10"/>
      <color rgb="FFFFFFFF"/>
      <name val="Arial"/>
      <family val="2"/>
    </font>
    <font>
      <sz val="11"/>
      <color rgb="FFFFFFFF"/>
      <name val="Calibri"/>
      <family val="2"/>
    </font>
    <font>
      <b/>
      <sz val="10"/>
      <color theme="4"/>
      <name val="Arial"/>
      <family val="2"/>
    </font>
    <font>
      <sz val="10"/>
      <color theme="4"/>
      <name val="Calibri"/>
      <family val="2"/>
    </font>
    <font>
      <b/>
      <u/>
      <sz val="12"/>
      <color rgb="FF2F5496"/>
      <name val="Arial"/>
      <family val="2"/>
    </font>
    <font>
      <b/>
      <i/>
      <sz val="10"/>
      <color rgb="FF000000"/>
      <name val="Arial"/>
      <family val="2"/>
    </font>
    <font>
      <b/>
      <sz val="10"/>
      <color rgb="FF333399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8"/>
      <color rgb="FF366092"/>
      <name val="Arial"/>
      <family val="2"/>
    </font>
    <font>
      <sz val="8"/>
      <color rgb="FF1155CC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8"/>
      <color rgb="FF274E13"/>
      <name val="Arial"/>
      <family val="2"/>
    </font>
    <font>
      <b/>
      <strike/>
      <sz val="11"/>
      <color rgb="FF000000"/>
      <name val="Arial"/>
      <family val="2"/>
    </font>
    <font>
      <b/>
      <sz val="12"/>
      <color theme="1"/>
      <name val="Arial"/>
      <family val="2"/>
    </font>
    <font>
      <b/>
      <strike/>
      <sz val="11"/>
      <color rgb="FFFFFFFF"/>
      <name val="Arial"/>
      <family val="2"/>
    </font>
    <font>
      <sz val="8"/>
      <color rgb="FF999999"/>
      <name val="Arial"/>
      <family val="2"/>
    </font>
    <font>
      <sz val="8"/>
      <color rgb="FF990000"/>
      <name val="Arial"/>
      <family val="2"/>
    </font>
    <font>
      <sz val="8"/>
      <color rgb="FF0000FF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Calibri"/>
      <family val="2"/>
    </font>
    <font>
      <b/>
      <sz val="9"/>
      <color theme="0"/>
      <name val="Arial"/>
      <family val="2"/>
    </font>
    <font>
      <b/>
      <sz val="11"/>
      <color rgb="FF2F5496"/>
      <name val="Arial"/>
      <family val="2"/>
    </font>
    <font>
      <b/>
      <sz val="12"/>
      <color rgb="FF2F5496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rgb="FFE36C0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E36C09"/>
      </patternFill>
    </fill>
    <fill>
      <patternFill patternType="solid">
        <fgColor rgb="FF366092"/>
        <bgColor rgb="FF36609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F0FE"/>
        <bgColor rgb="FFE8F0F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8EAADB"/>
      </patternFill>
    </fill>
    <fill>
      <patternFill patternType="solid">
        <fgColor theme="0" tint="-0.249977111117893"/>
        <bgColor rgb="FF2F5496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rgb="FFE8F0FE"/>
      </patternFill>
    </fill>
    <fill>
      <patternFill patternType="solid">
        <fgColor theme="0" tint="-0.249977111117893"/>
        <bgColor rgb="FFFFFFFF"/>
      </patternFill>
    </fill>
    <fill>
      <patternFill patternType="solid">
        <fgColor rgb="FFFFFFFF"/>
        <bgColor rgb="FFFFFFFF"/>
      </patternFill>
    </fill>
  </fills>
  <borders count="16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rgb="FF757171"/>
      </bottom>
      <diagonal/>
    </border>
    <border>
      <left/>
      <right/>
      <top/>
      <bottom style="thin">
        <color rgb="FF757171"/>
      </bottom>
      <diagonal/>
    </border>
    <border>
      <left style="thin">
        <color rgb="FF757171"/>
      </left>
      <right/>
      <top style="thin">
        <color rgb="FF757171"/>
      </top>
      <bottom style="thin">
        <color rgb="FF757171"/>
      </bottom>
      <diagonal/>
    </border>
    <border>
      <left/>
      <right style="thin">
        <color rgb="FF757171"/>
      </right>
      <top style="thin">
        <color rgb="FF757171"/>
      </top>
      <bottom style="thin">
        <color rgb="FF757171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757171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2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2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0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2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9" fillId="0" borderId="0"/>
  </cellStyleXfs>
  <cellXfs count="509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9" fillId="7" borderId="0" xfId="5" applyFill="1" applyAlignment="1" applyProtection="1">
      <alignment vertical="center" wrapText="1"/>
      <protection locked="0"/>
    </xf>
    <xf numFmtId="0" fontId="4" fillId="0" borderId="15" xfId="0" applyFont="1" applyBorder="1" applyAlignment="1">
      <alignment horizontal="center" vertical="center"/>
    </xf>
    <xf numFmtId="14" fontId="0" fillId="0" borderId="0" xfId="0" applyNumberForma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left" vertical="top" wrapText="1"/>
      <protection locked="0"/>
    </xf>
    <xf numFmtId="0" fontId="28" fillId="0" borderId="0" xfId="0" applyFont="1"/>
    <xf numFmtId="0" fontId="29" fillId="14" borderId="20" xfId="0" applyFont="1" applyFill="1" applyBorder="1"/>
    <xf numFmtId="0" fontId="29" fillId="14" borderId="20" xfId="0" applyFont="1" applyFill="1" applyBorder="1" applyAlignment="1">
      <alignment wrapText="1"/>
    </xf>
    <xf numFmtId="0" fontId="28" fillId="0" borderId="21" xfId="0" applyFont="1" applyBorder="1"/>
    <xf numFmtId="15" fontId="30" fillId="14" borderId="20" xfId="0" applyNumberFormat="1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9" fillId="7" borderId="0" xfId="5" applyFill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/>
      <protection locked="0"/>
    </xf>
    <xf numFmtId="0" fontId="21" fillId="0" borderId="12" xfId="0" applyFont="1" applyBorder="1" applyProtection="1">
      <protection locked="0"/>
    </xf>
    <xf numFmtId="0" fontId="9" fillId="7" borderId="0" xfId="0" applyFont="1" applyFill="1" applyAlignment="1" applyProtection="1">
      <alignment vertical="center"/>
      <protection locked="0"/>
    </xf>
    <xf numFmtId="0" fontId="13" fillId="7" borderId="12" xfId="0" applyFont="1" applyFill="1" applyBorder="1" applyProtection="1">
      <protection locked="0"/>
    </xf>
    <xf numFmtId="0" fontId="22" fillId="7" borderId="0" xfId="0" applyFont="1" applyFill="1" applyAlignment="1" applyProtection="1">
      <alignment horizontal="center" vertical="center"/>
      <protection locked="0"/>
    </xf>
    <xf numFmtId="0" fontId="21" fillId="0" borderId="13" xfId="0" applyFont="1" applyBorder="1" applyAlignment="1" applyProtection="1">
      <alignment horizontal="center" vertical="top"/>
      <protection locked="0"/>
    </xf>
    <xf numFmtId="0" fontId="21" fillId="0" borderId="13" xfId="0" applyFont="1" applyBorder="1" applyAlignment="1" applyProtection="1">
      <alignment vertical="top"/>
      <protection locked="0"/>
    </xf>
    <xf numFmtId="0" fontId="13" fillId="7" borderId="13" xfId="0" applyFont="1" applyFill="1" applyBorder="1" applyProtection="1">
      <protection locked="0"/>
    </xf>
    <xf numFmtId="0" fontId="25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1" fontId="4" fillId="15" borderId="30" xfId="0" applyNumberFormat="1" applyFont="1" applyFill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wrapText="1"/>
      <protection hidden="1"/>
    </xf>
    <xf numFmtId="0" fontId="0" fillId="12" borderId="30" xfId="0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5" fillId="2" borderId="30" xfId="0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1" fontId="0" fillId="2" borderId="30" xfId="0" applyNumberFormat="1" applyFill="1" applyBorder="1" applyAlignment="1" applyProtection="1">
      <alignment horizontal="center" vertical="center"/>
      <protection locked="0"/>
    </xf>
    <xf numFmtId="165" fontId="0" fillId="0" borderId="29" xfId="0" applyNumberFormat="1" applyBorder="1" applyAlignment="1" applyProtection="1">
      <alignment horizontal="center" vertical="center"/>
      <protection hidden="1"/>
    </xf>
    <xf numFmtId="165" fontId="4" fillId="0" borderId="29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30" xfId="0" applyNumberFormat="1" applyFill="1" applyBorder="1" applyAlignment="1" applyProtection="1">
      <alignment horizontal="center" vertical="center" wrapText="1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5" fillId="11" borderId="35" xfId="5" applyFont="1" applyFill="1" applyBorder="1" applyAlignment="1" applyProtection="1">
      <alignment horizontal="center" vertical="center" wrapText="1"/>
      <protection locked="0"/>
    </xf>
    <xf numFmtId="0" fontId="15" fillId="11" borderId="37" xfId="5" applyFont="1" applyFill="1" applyBorder="1" applyAlignment="1" applyProtection="1">
      <alignment horizontal="center" vertical="center" wrapText="1"/>
      <protection locked="0"/>
    </xf>
    <xf numFmtId="0" fontId="20" fillId="0" borderId="32" xfId="5" applyFont="1" applyBorder="1" applyAlignment="1" applyProtection="1">
      <alignment horizontal="left" vertical="center" wrapText="1" indent="1"/>
      <protection locked="0"/>
    </xf>
    <xf numFmtId="9" fontId="20" fillId="2" borderId="33" xfId="1" applyFont="1" applyFill="1" applyBorder="1" applyAlignment="1" applyProtection="1">
      <alignment horizontal="center" vertical="center" wrapText="1"/>
      <protection locked="0"/>
    </xf>
    <xf numFmtId="0" fontId="19" fillId="11" borderId="34" xfId="5" applyFont="1" applyFill="1" applyBorder="1" applyAlignment="1" applyProtection="1">
      <alignment horizontal="left" vertical="center" wrapText="1" indent="1"/>
      <protection locked="0"/>
    </xf>
    <xf numFmtId="9" fontId="26" fillId="11" borderId="36" xfId="1" applyFont="1" applyFill="1" applyBorder="1" applyAlignment="1" applyProtection="1">
      <alignment horizontal="center" vertical="center" wrapText="1"/>
      <protection hidden="1"/>
    </xf>
    <xf numFmtId="0" fontId="4" fillId="7" borderId="0" xfId="0" applyFont="1" applyFill="1" applyAlignment="1" applyProtection="1">
      <alignment horizontal="left" vertical="center"/>
      <protection locked="0"/>
    </xf>
    <xf numFmtId="0" fontId="37" fillId="0" borderId="29" xfId="0" applyFont="1" applyBorder="1" applyAlignment="1" applyProtection="1">
      <alignment horizontal="center" vertical="center"/>
      <protection locked="0"/>
    </xf>
    <xf numFmtId="1" fontId="23" fillId="9" borderId="30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30" xfId="0" applyFont="1" applyFill="1" applyBorder="1" applyAlignment="1" applyProtection="1">
      <alignment horizontal="center" vertical="center"/>
      <protection locked="0"/>
    </xf>
    <xf numFmtId="0" fontId="0" fillId="6" borderId="29" xfId="0" applyFill="1" applyBorder="1" applyAlignment="1" applyProtection="1">
      <alignment horizontal="left" vertical="center"/>
      <protection locked="0"/>
    </xf>
    <xf numFmtId="0" fontId="4" fillId="6" borderId="29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6" borderId="29" xfId="0" applyFill="1" applyBorder="1" applyAlignment="1" applyProtection="1">
      <alignment vertical="center"/>
      <protection locked="0"/>
    </xf>
    <xf numFmtId="0" fontId="4" fillId="15" borderId="30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vertical="center" wrapText="1"/>
      <protection locked="0"/>
    </xf>
    <xf numFmtId="0" fontId="4" fillId="15" borderId="30" xfId="0" applyFont="1" applyFill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6" fillId="15" borderId="30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12" borderId="30" xfId="0" applyFill="1" applyBorder="1" applyProtection="1">
      <protection locked="0"/>
    </xf>
    <xf numFmtId="0" fontId="33" fillId="15" borderId="23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5" borderId="23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0" fillId="5" borderId="27" xfId="0" applyFill="1" applyBorder="1" applyAlignment="1" applyProtection="1">
      <alignment horizontal="center" vertical="center"/>
      <protection locked="0"/>
    </xf>
    <xf numFmtId="1" fontId="35" fillId="16" borderId="30" xfId="0" applyNumberFormat="1" applyFont="1" applyFill="1" applyBorder="1" applyAlignment="1" applyProtection="1">
      <alignment horizontal="center" vertical="center" wrapText="1"/>
      <protection locked="0"/>
    </xf>
    <xf numFmtId="1" fontId="23" fillId="0" borderId="0" xfId="0" applyNumberFormat="1" applyFont="1" applyAlignment="1" applyProtection="1">
      <alignment horizontal="center" vertical="center" wrapText="1"/>
      <protection locked="0"/>
    </xf>
    <xf numFmtId="1" fontId="4" fillId="0" borderId="29" xfId="0" applyNumberFormat="1" applyFont="1" applyBorder="1" applyAlignment="1" applyProtection="1">
      <alignment horizontal="center" vertical="center"/>
      <protection hidden="1"/>
    </xf>
    <xf numFmtId="1" fontId="36" fillId="0" borderId="29" xfId="0" applyNumberFormat="1" applyFont="1" applyBorder="1" applyAlignment="1" applyProtection="1">
      <alignment horizontal="center" vertical="center"/>
      <protection hidden="1"/>
    </xf>
    <xf numFmtId="0" fontId="0" fillId="2" borderId="30" xfId="0" applyFill="1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alignment horizontal="center" vertical="center"/>
      <protection hidden="1"/>
    </xf>
    <xf numFmtId="14" fontId="0" fillId="0" borderId="39" xfId="0" applyNumberFormat="1" applyBorder="1" applyAlignment="1" applyProtection="1">
      <alignment vertical="center"/>
      <protection locked="0"/>
    </xf>
    <xf numFmtId="0" fontId="37" fillId="6" borderId="39" xfId="0" applyFont="1" applyFill="1" applyBorder="1" applyAlignment="1" applyProtection="1">
      <alignment horizontal="center" vertical="center"/>
      <protection locked="0"/>
    </xf>
    <xf numFmtId="0" fontId="39" fillId="0" borderId="0" xfId="7"/>
    <xf numFmtId="0" fontId="53" fillId="0" borderId="47" xfId="7" applyFont="1" applyBorder="1" applyAlignment="1">
      <alignment wrapText="1"/>
    </xf>
    <xf numFmtId="0" fontId="53" fillId="0" borderId="0" xfId="7" applyFont="1" applyAlignment="1">
      <alignment wrapText="1"/>
    </xf>
    <xf numFmtId="0" fontId="53" fillId="0" borderId="0" xfId="7" applyFont="1" applyAlignment="1">
      <alignment horizontal="left" wrapText="1"/>
    </xf>
    <xf numFmtId="0" fontId="22" fillId="0" borderId="47" xfId="7" applyFont="1" applyBorder="1" applyAlignment="1">
      <alignment vertical="center" wrapText="1"/>
    </xf>
    <xf numFmtId="0" fontId="22" fillId="0" borderId="0" xfId="7" applyFont="1" applyAlignment="1">
      <alignment vertical="center" wrapText="1"/>
    </xf>
    <xf numFmtId="0" fontId="22" fillId="0" borderId="0" xfId="7" applyFont="1" applyAlignment="1">
      <alignment horizontal="left" vertical="center" wrapText="1"/>
    </xf>
    <xf numFmtId="0" fontId="10" fillId="0" borderId="0" xfId="7" applyFont="1" applyAlignment="1">
      <alignment horizontal="left"/>
    </xf>
    <xf numFmtId="0" fontId="54" fillId="0" borderId="47" xfId="7" applyFont="1" applyBorder="1" applyAlignment="1">
      <alignment horizontal="center"/>
    </xf>
    <xf numFmtId="0" fontId="54" fillId="21" borderId="45" xfId="7" applyFont="1" applyFill="1" applyBorder="1" applyAlignment="1">
      <alignment horizontal="center"/>
    </xf>
    <xf numFmtId="0" fontId="55" fillId="0" borderId="48" xfId="7" applyFont="1" applyBorder="1" applyAlignment="1">
      <alignment horizontal="left" vertical="top" wrapText="1"/>
    </xf>
    <xf numFmtId="0" fontId="56" fillId="0" borderId="48" xfId="7" applyFont="1" applyBorder="1" applyAlignment="1">
      <alignment horizontal="center" vertical="center" wrapText="1"/>
    </xf>
    <xf numFmtId="0" fontId="56" fillId="0" borderId="47" xfId="7" applyFont="1" applyBorder="1" applyAlignment="1">
      <alignment horizontal="center" vertical="center" wrapText="1"/>
    </xf>
    <xf numFmtId="0" fontId="57" fillId="0" borderId="0" xfId="7" applyFont="1" applyAlignment="1">
      <alignment vertical="center" wrapText="1"/>
    </xf>
    <xf numFmtId="0" fontId="58" fillId="0" borderId="47" xfId="7" applyFont="1" applyBorder="1" applyAlignment="1">
      <alignment horizontal="center" vertical="center" wrapText="1"/>
    </xf>
    <xf numFmtId="0" fontId="58" fillId="0" borderId="45" xfId="7" applyFont="1" applyBorder="1" applyAlignment="1">
      <alignment horizontal="center" vertical="center" wrapText="1"/>
    </xf>
    <xf numFmtId="0" fontId="59" fillId="0" borderId="48" xfId="7" applyFont="1" applyBorder="1" applyAlignment="1">
      <alignment horizontal="left" vertical="top" wrapText="1"/>
    </xf>
    <xf numFmtId="0" fontId="60" fillId="0" borderId="47" xfId="7" applyFont="1" applyBorder="1" applyAlignment="1">
      <alignment horizontal="center" vertical="center" wrapText="1"/>
    </xf>
    <xf numFmtId="0" fontId="61" fillId="0" borderId="0" xfId="7" applyFont="1" applyAlignment="1">
      <alignment vertical="center" wrapText="1"/>
    </xf>
    <xf numFmtId="0" fontId="56" fillId="0" borderId="45" xfId="7" applyFont="1" applyBorder="1" applyAlignment="1">
      <alignment horizontal="center" vertical="center" wrapText="1"/>
    </xf>
    <xf numFmtId="0" fontId="62" fillId="0" borderId="0" xfId="7" applyFont="1" applyAlignment="1">
      <alignment vertical="center" wrapText="1"/>
    </xf>
    <xf numFmtId="0" fontId="63" fillId="0" borderId="0" xfId="7" applyFont="1" applyAlignment="1">
      <alignment vertical="center" wrapText="1"/>
    </xf>
    <xf numFmtId="0" fontId="56" fillId="0" borderId="2" xfId="7" applyFont="1" applyBorder="1" applyAlignment="1">
      <alignment horizontal="center" vertical="center" wrapText="1"/>
    </xf>
    <xf numFmtId="0" fontId="64" fillId="0" borderId="0" xfId="7" applyFont="1"/>
    <xf numFmtId="0" fontId="56" fillId="0" borderId="7" xfId="7" applyFont="1" applyBorder="1" applyAlignment="1">
      <alignment horizontal="center" vertical="center" wrapText="1"/>
    </xf>
    <xf numFmtId="0" fontId="40" fillId="0" borderId="49" xfId="7" applyFont="1" applyBorder="1" applyAlignment="1">
      <alignment horizontal="left" vertical="center" wrapText="1"/>
    </xf>
    <xf numFmtId="0" fontId="56" fillId="0" borderId="49" xfId="7" applyFont="1" applyBorder="1" applyAlignment="1">
      <alignment horizontal="center" vertical="center" wrapText="1"/>
    </xf>
    <xf numFmtId="0" fontId="22" fillId="0" borderId="0" xfId="7" applyFont="1" applyAlignment="1">
      <alignment wrapText="1"/>
    </xf>
    <xf numFmtId="0" fontId="22" fillId="0" borderId="0" xfId="7" applyFont="1" applyAlignment="1">
      <alignment horizontal="center" wrapText="1"/>
    </xf>
    <xf numFmtId="0" fontId="65" fillId="4" borderId="47" xfId="7" applyFont="1" applyFill="1" applyBorder="1" applyAlignment="1">
      <alignment horizontal="center" vertical="center" wrapText="1"/>
    </xf>
    <xf numFmtId="0" fontId="66" fillId="4" borderId="47" xfId="7" applyFont="1" applyFill="1" applyBorder="1" applyAlignment="1">
      <alignment horizontal="center" vertical="center" wrapText="1"/>
    </xf>
    <xf numFmtId="0" fontId="65" fillId="4" borderId="48" xfId="7" applyFont="1" applyFill="1" applyBorder="1" applyAlignment="1">
      <alignment horizontal="center" vertical="center" wrapText="1"/>
    </xf>
    <xf numFmtId="0" fontId="10" fillId="0" borderId="0" xfId="7" applyFont="1" applyProtection="1">
      <protection locked="0"/>
    </xf>
    <xf numFmtId="2" fontId="10" fillId="0" borderId="0" xfId="7" applyNumberFormat="1" applyFont="1" applyProtection="1">
      <protection locked="0"/>
    </xf>
    <xf numFmtId="0" fontId="39" fillId="0" borderId="0" xfId="7" applyProtection="1">
      <protection locked="0"/>
    </xf>
    <xf numFmtId="0" fontId="70" fillId="0" borderId="39" xfId="7" applyFont="1" applyBorder="1" applyAlignment="1" applyProtection="1">
      <alignment horizontal="center" vertical="center"/>
      <protection locked="0"/>
    </xf>
    <xf numFmtId="2" fontId="14" fillId="20" borderId="39" xfId="7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7" applyFont="1" applyProtection="1">
      <protection locked="0"/>
    </xf>
    <xf numFmtId="0" fontId="12" fillId="6" borderId="50" xfId="7" applyFont="1" applyFill="1" applyBorder="1" applyAlignment="1" applyProtection="1">
      <alignment horizontal="center" vertical="center" wrapText="1"/>
      <protection locked="0"/>
    </xf>
    <xf numFmtId="0" fontId="12" fillId="0" borderId="2" xfId="7" applyFont="1" applyBorder="1" applyAlignment="1" applyProtection="1">
      <alignment horizontal="center" vertical="center" wrapText="1"/>
      <protection locked="0"/>
    </xf>
    <xf numFmtId="0" fontId="14" fillId="0" borderId="2" xfId="7" applyFont="1" applyBorder="1" applyAlignment="1" applyProtection="1">
      <alignment horizontal="center" vertical="center" wrapText="1"/>
      <protection locked="0"/>
    </xf>
    <xf numFmtId="0" fontId="12" fillId="5" borderId="39" xfId="7" applyFont="1" applyFill="1" applyBorder="1" applyAlignment="1" applyProtection="1">
      <alignment horizontal="center" vertical="center" wrapText="1"/>
      <protection locked="0"/>
    </xf>
    <xf numFmtId="0" fontId="12" fillId="15" borderId="39" xfId="7" applyFont="1" applyFill="1" applyBorder="1" applyAlignment="1" applyProtection="1">
      <alignment horizontal="center" vertical="center" wrapText="1"/>
      <protection locked="0"/>
    </xf>
    <xf numFmtId="0" fontId="10" fillId="0" borderId="0" xfId="7" applyFont="1" applyAlignment="1" applyProtection="1">
      <alignment horizontal="center"/>
      <protection locked="0"/>
    </xf>
    <xf numFmtId="0" fontId="47" fillId="0" borderId="0" xfId="7" applyFont="1" applyProtection="1">
      <protection locked="0"/>
    </xf>
    <xf numFmtId="0" fontId="17" fillId="5" borderId="63" xfId="7" applyFont="1" applyFill="1" applyBorder="1" applyAlignment="1" applyProtection="1">
      <alignment horizontal="center" vertical="center" wrapText="1"/>
      <protection locked="0"/>
    </xf>
    <xf numFmtId="0" fontId="49" fillId="0" borderId="0" xfId="7" applyFont="1" applyAlignment="1" applyProtection="1">
      <alignment horizontal="center"/>
      <protection locked="0"/>
    </xf>
    <xf numFmtId="2" fontId="29" fillId="0" borderId="61" xfId="7" applyNumberFormat="1" applyFont="1" applyBorder="1" applyAlignment="1" applyProtection="1">
      <alignment horizontal="center" vertical="center" wrapText="1"/>
      <protection locked="0"/>
    </xf>
    <xf numFmtId="2" fontId="10" fillId="0" borderId="62" xfId="7" applyNumberFormat="1" applyFont="1" applyBorder="1" applyProtection="1">
      <protection locked="0"/>
    </xf>
    <xf numFmtId="0" fontId="10" fillId="0" borderId="46" xfId="7" applyFont="1" applyBorder="1" applyProtection="1">
      <protection locked="0"/>
    </xf>
    <xf numFmtId="0" fontId="17" fillId="15" borderId="2" xfId="7" applyFont="1" applyFill="1" applyBorder="1" applyAlignment="1" applyProtection="1">
      <alignment horizontal="center" vertical="center"/>
      <protection hidden="1"/>
    </xf>
    <xf numFmtId="2" fontId="68" fillId="19" borderId="58" xfId="7" applyNumberFormat="1" applyFont="1" applyFill="1" applyBorder="1" applyAlignment="1" applyProtection="1">
      <alignment horizontal="center" vertical="center"/>
      <protection hidden="1"/>
    </xf>
    <xf numFmtId="2" fontId="29" fillId="20" borderId="51" xfId="7" applyNumberFormat="1" applyFont="1" applyFill="1" applyBorder="1" applyAlignment="1" applyProtection="1">
      <alignment horizontal="center" vertical="center"/>
      <protection hidden="1"/>
    </xf>
    <xf numFmtId="2" fontId="20" fillId="20" borderId="51" xfId="7" applyNumberFormat="1" applyFont="1" applyFill="1" applyBorder="1" applyAlignment="1" applyProtection="1">
      <alignment horizontal="center" vertical="center"/>
      <protection hidden="1"/>
    </xf>
    <xf numFmtId="2" fontId="17" fillId="20" borderId="52" xfId="7" applyNumberFormat="1" applyFont="1" applyFill="1" applyBorder="1" applyAlignment="1" applyProtection="1">
      <alignment horizontal="center" vertical="center"/>
      <protection hidden="1"/>
    </xf>
    <xf numFmtId="0" fontId="10" fillId="0" borderId="47" xfId="0" applyFont="1" applyBorder="1"/>
    <xf numFmtId="0" fontId="72" fillId="23" borderId="47" xfId="0" applyFont="1" applyFill="1" applyBorder="1" applyAlignment="1">
      <alignment horizontal="center" vertical="center" wrapText="1"/>
    </xf>
    <xf numFmtId="0" fontId="10" fillId="0" borderId="0" xfId="0" applyFont="1"/>
    <xf numFmtId="0" fontId="17" fillId="24" borderId="47" xfId="0" applyFont="1" applyFill="1" applyBorder="1" applyAlignment="1">
      <alignment horizontal="center" wrapText="1"/>
    </xf>
    <xf numFmtId="0" fontId="17" fillId="24" borderId="47" xfId="0" applyFont="1" applyFill="1" applyBorder="1" applyAlignment="1">
      <alignment vertical="top"/>
    </xf>
    <xf numFmtId="0" fontId="73" fillId="24" borderId="47" xfId="0" applyFont="1" applyFill="1" applyBorder="1" applyAlignment="1">
      <alignment horizontal="center"/>
    </xf>
    <xf numFmtId="0" fontId="17" fillId="24" borderId="47" xfId="0" applyFont="1" applyFill="1" applyBorder="1"/>
    <xf numFmtId="0" fontId="10" fillId="0" borderId="48" xfId="0" applyFont="1" applyBorder="1"/>
    <xf numFmtId="0" fontId="10" fillId="0" borderId="47" xfId="0" applyFont="1" applyBorder="1" applyAlignment="1">
      <alignment vertical="top"/>
    </xf>
    <xf numFmtId="0" fontId="17" fillId="24" borderId="47" xfId="0" applyFont="1" applyFill="1" applyBorder="1" applyAlignment="1">
      <alignment horizontal="center" vertical="center"/>
    </xf>
    <xf numFmtId="0" fontId="17" fillId="24" borderId="47" xfId="0" applyFont="1" applyFill="1" applyBorder="1" applyAlignment="1">
      <alignment horizontal="center" vertical="top"/>
    </xf>
    <xf numFmtId="0" fontId="73" fillId="24" borderId="47" xfId="0" applyFont="1" applyFill="1" applyBorder="1" applyAlignment="1">
      <alignment horizontal="center" vertical="top"/>
    </xf>
    <xf numFmtId="0" fontId="10" fillId="24" borderId="47" xfId="0" applyFont="1" applyFill="1" applyBorder="1" applyAlignment="1">
      <alignment horizontal="center" vertical="top"/>
    </xf>
    <xf numFmtId="0" fontId="17" fillId="24" borderId="47" xfId="0" applyFont="1" applyFill="1" applyBorder="1" applyAlignment="1">
      <alignment horizontal="center"/>
    </xf>
    <xf numFmtId="0" fontId="10" fillId="24" borderId="47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2" fillId="23" borderId="48" xfId="0" applyFont="1" applyFill="1" applyBorder="1" applyAlignment="1">
      <alignment horizontal="center" vertical="center" wrapText="1"/>
    </xf>
    <xf numFmtId="0" fontId="17" fillId="24" borderId="48" xfId="0" applyFont="1" applyFill="1" applyBorder="1" applyAlignment="1">
      <alignment horizontal="center" wrapText="1"/>
    </xf>
    <xf numFmtId="14" fontId="0" fillId="0" borderId="39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5" borderId="1" xfId="0" applyFill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4" fillId="5" borderId="68" xfId="0" applyFont="1" applyFill="1" applyBorder="1" applyAlignment="1">
      <alignment horizontal="center" vertical="center"/>
    </xf>
    <xf numFmtId="0" fontId="10" fillId="5" borderId="69" xfId="0" applyFont="1" applyFill="1" applyBorder="1" applyAlignment="1">
      <alignment vertical="center"/>
    </xf>
    <xf numFmtId="0" fontId="10" fillId="5" borderId="69" xfId="0" applyFont="1" applyFill="1" applyBorder="1"/>
    <xf numFmtId="0" fontId="10" fillId="5" borderId="70" xfId="0" applyFont="1" applyFill="1" applyBorder="1" applyAlignment="1">
      <alignment vertical="center"/>
    </xf>
    <xf numFmtId="0" fontId="0" fillId="0" borderId="71" xfId="0" applyBorder="1"/>
    <xf numFmtId="0" fontId="4" fillId="0" borderId="71" xfId="0" applyFont="1" applyBorder="1" applyAlignment="1">
      <alignment horizontal="center" vertical="center"/>
    </xf>
    <xf numFmtId="2" fontId="4" fillId="8" borderId="39" xfId="0" applyNumberFormat="1" applyFont="1" applyFill="1" applyBorder="1" applyAlignment="1" applyProtection="1">
      <alignment horizontal="center" vertical="center" wrapText="1"/>
      <protection hidden="1"/>
    </xf>
    <xf numFmtId="2" fontId="36" fillId="8" borderId="39" xfId="0" applyNumberFormat="1" applyFont="1" applyFill="1" applyBorder="1" applyAlignment="1" applyProtection="1">
      <alignment horizontal="center" vertical="center"/>
      <protection hidden="1"/>
    </xf>
    <xf numFmtId="0" fontId="4" fillId="5" borderId="72" xfId="0" applyFont="1" applyFill="1" applyBorder="1" applyAlignment="1">
      <alignment horizontal="center" vertical="center"/>
    </xf>
    <xf numFmtId="0" fontId="0" fillId="5" borderId="73" xfId="0" applyFill="1" applyBorder="1"/>
    <xf numFmtId="0" fontId="0" fillId="0" borderId="71" xfId="0" applyBorder="1" applyAlignment="1">
      <alignment horizontal="left" vertical="center"/>
    </xf>
    <xf numFmtId="0" fontId="14" fillId="6" borderId="39" xfId="7" applyFont="1" applyFill="1" applyBorder="1" applyAlignment="1" applyProtection="1">
      <alignment horizontal="center" vertical="center" wrapText="1"/>
      <protection hidden="1"/>
    </xf>
    <xf numFmtId="0" fontId="10" fillId="6" borderId="39" xfId="7" applyFont="1" applyFill="1" applyBorder="1" applyAlignment="1" applyProtection="1">
      <alignment horizontal="center" vertical="center"/>
      <protection hidden="1"/>
    </xf>
    <xf numFmtId="0" fontId="10" fillId="6" borderId="2" xfId="7" applyFont="1" applyFill="1" applyBorder="1" applyAlignment="1" applyProtection="1">
      <alignment horizontal="center" vertical="center"/>
      <protection hidden="1"/>
    </xf>
    <xf numFmtId="14" fontId="0" fillId="7" borderId="39" xfId="0" applyNumberFormat="1" applyFill="1" applyBorder="1" applyAlignment="1" applyProtection="1">
      <alignment vertical="center"/>
      <protection locked="0"/>
    </xf>
    <xf numFmtId="0" fontId="4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39" xfId="0" applyBorder="1" applyAlignment="1" applyProtection="1">
      <alignment vertical="center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2" fontId="20" fillId="15" borderId="57" xfId="7" applyNumberFormat="1" applyFont="1" applyFill="1" applyBorder="1" applyAlignment="1" applyProtection="1">
      <alignment horizontal="center" vertical="center"/>
      <protection hidden="1"/>
    </xf>
    <xf numFmtId="2" fontId="20" fillId="25" borderId="57" xfId="7" applyNumberFormat="1" applyFont="1" applyFill="1" applyBorder="1" applyAlignment="1" applyProtection="1">
      <alignment horizontal="center" vertical="center"/>
      <protection hidden="1"/>
    </xf>
    <xf numFmtId="2" fontId="20" fillId="26" borderId="57" xfId="7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center" wrapText="1"/>
    </xf>
    <xf numFmtId="0" fontId="39" fillId="0" borderId="0" xfId="7" applyAlignment="1">
      <alignment horizontal="left"/>
    </xf>
    <xf numFmtId="0" fontId="0" fillId="0" borderId="0" xfId="0" pivotButton="1" applyProtection="1">
      <protection locked="0"/>
    </xf>
    <xf numFmtId="0" fontId="0" fillId="0" borderId="0" xfId="0" applyAlignment="1" applyProtection="1">
      <alignment horizontal="left"/>
      <protection locked="0"/>
    </xf>
    <xf numFmtId="0" fontId="56" fillId="0" borderId="82" xfId="7" applyFont="1" applyBorder="1" applyAlignment="1">
      <alignment horizontal="center" vertical="center" wrapText="1"/>
    </xf>
    <xf numFmtId="0" fontId="56" fillId="0" borderId="30" xfId="7" applyFont="1" applyBorder="1" applyAlignment="1">
      <alignment horizontal="center" vertical="center" wrapText="1"/>
    </xf>
    <xf numFmtId="0" fontId="56" fillId="0" borderId="83" xfId="7" applyFont="1" applyBorder="1" applyAlignment="1">
      <alignment horizontal="center" vertical="center" wrapText="1"/>
    </xf>
    <xf numFmtId="0" fontId="39" fillId="0" borderId="82" xfId="7" applyBorder="1"/>
    <xf numFmtId="0" fontId="39" fillId="0" borderId="30" xfId="7" applyBorder="1"/>
    <xf numFmtId="0" fontId="39" fillId="0" borderId="30" xfId="7" applyBorder="1" applyAlignment="1">
      <alignment horizontal="left"/>
    </xf>
    <xf numFmtId="0" fontId="39" fillId="0" borderId="83" xfId="7" applyBorder="1"/>
    <xf numFmtId="0" fontId="39" fillId="0" borderId="84" xfId="7" applyBorder="1"/>
    <xf numFmtId="0" fontId="39" fillId="0" borderId="85" xfId="7" applyBorder="1"/>
    <xf numFmtId="0" fontId="39" fillId="0" borderId="85" xfId="7" applyBorder="1" applyAlignment="1">
      <alignment horizontal="left"/>
    </xf>
    <xf numFmtId="0" fontId="39" fillId="0" borderId="86" xfId="7" applyBorder="1"/>
    <xf numFmtId="0" fontId="65" fillId="4" borderId="64" xfId="7" applyFont="1" applyFill="1" applyBorder="1" applyAlignment="1">
      <alignment horizontal="center" vertical="center" wrapText="1"/>
    </xf>
    <xf numFmtId="0" fontId="66" fillId="4" borderId="64" xfId="7" applyFont="1" applyFill="1" applyBorder="1" applyAlignment="1">
      <alignment horizontal="center" vertical="center" wrapText="1"/>
    </xf>
    <xf numFmtId="0" fontId="14" fillId="0" borderId="75" xfId="7" applyFont="1" applyBorder="1" applyProtection="1">
      <protection locked="0"/>
    </xf>
    <xf numFmtId="2" fontId="14" fillId="0" borderId="75" xfId="7" applyNumberFormat="1" applyFont="1" applyBorder="1" applyProtection="1">
      <protection locked="0"/>
    </xf>
    <xf numFmtId="0" fontId="10" fillId="0" borderId="75" xfId="7" applyFont="1" applyBorder="1" applyProtection="1">
      <protection locked="0"/>
    </xf>
    <xf numFmtId="0" fontId="14" fillId="0" borderId="0" xfId="7" applyFont="1" applyProtection="1">
      <protection locked="0"/>
    </xf>
    <xf numFmtId="2" fontId="14" fillId="0" borderId="0" xfId="7" applyNumberFormat="1" applyFont="1" applyProtection="1">
      <protection locked="0"/>
    </xf>
    <xf numFmtId="0" fontId="43" fillId="0" borderId="0" xfId="7" applyFont="1" applyProtection="1">
      <protection locked="0"/>
    </xf>
    <xf numFmtId="0" fontId="44" fillId="0" borderId="0" xfId="7" applyFont="1" applyProtection="1">
      <protection locked="0"/>
    </xf>
    <xf numFmtId="0" fontId="14" fillId="0" borderId="0" xfId="7" applyFont="1" applyAlignment="1" applyProtection="1">
      <alignment horizontal="left" vertical="center" wrapText="1"/>
      <protection locked="0"/>
    </xf>
    <xf numFmtId="9" fontId="14" fillId="0" borderId="0" xfId="7" applyNumberFormat="1" applyFont="1" applyAlignment="1" applyProtection="1">
      <alignment horizontal="center" vertical="center" wrapText="1"/>
      <protection locked="0"/>
    </xf>
    <xf numFmtId="0" fontId="10" fillId="0" borderId="0" xfId="7" applyFont="1" applyAlignment="1" applyProtection="1">
      <alignment horizontal="center" vertical="center"/>
      <protection locked="0"/>
    </xf>
    <xf numFmtId="0" fontId="17" fillId="0" borderId="0" xfId="7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14" fontId="0" fillId="27" borderId="39" xfId="0" applyNumberFormat="1" applyFill="1" applyBorder="1" applyAlignment="1" applyProtection="1">
      <alignment vertical="center"/>
      <protection locked="0"/>
    </xf>
    <xf numFmtId="0" fontId="1" fillId="27" borderId="39" xfId="0" applyFont="1" applyFill="1" applyBorder="1" applyAlignment="1" applyProtection="1">
      <alignment vertical="center"/>
      <protection locked="0"/>
    </xf>
    <xf numFmtId="0" fontId="74" fillId="0" borderId="0" xfId="7" applyFont="1" applyAlignment="1" applyProtection="1">
      <alignment horizontal="center" vertical="center"/>
      <protection locked="0"/>
    </xf>
    <xf numFmtId="0" fontId="75" fillId="0" borderId="0" xfId="0" applyFont="1" applyAlignment="1">
      <alignment vertical="center" wrapText="1"/>
    </xf>
    <xf numFmtId="2" fontId="20" fillId="0" borderId="61" xfId="7" applyNumberFormat="1" applyFont="1" applyBorder="1" applyAlignment="1" applyProtection="1">
      <alignment horizontal="center" vertical="center" wrapText="1"/>
      <protection hidden="1"/>
    </xf>
    <xf numFmtId="2" fontId="20" fillId="0" borderId="61" xfId="7" applyNumberFormat="1" applyFont="1" applyBorder="1" applyAlignment="1" applyProtection="1">
      <alignment horizontal="center" vertical="center" wrapText="1"/>
      <protection locked="0"/>
    </xf>
    <xf numFmtId="2" fontId="20" fillId="0" borderId="55" xfId="7" applyNumberFormat="1" applyFont="1" applyBorder="1" applyAlignment="1" applyProtection="1">
      <alignment horizontal="center" vertical="center" wrapText="1"/>
      <protection hidden="1"/>
    </xf>
    <xf numFmtId="2" fontId="20" fillId="0" borderId="39" xfId="7" applyNumberFormat="1" applyFont="1" applyBorder="1" applyAlignment="1" applyProtection="1">
      <alignment horizontal="center" vertical="center" wrapText="1"/>
      <protection locked="0"/>
    </xf>
    <xf numFmtId="2" fontId="20" fillId="0" borderId="39" xfId="7" applyNumberFormat="1" applyFont="1" applyBorder="1" applyAlignment="1" applyProtection="1">
      <alignment horizontal="center" vertical="center" wrapText="1"/>
      <protection hidden="1"/>
    </xf>
    <xf numFmtId="2" fontId="20" fillId="0" borderId="54" xfId="7" applyNumberFormat="1" applyFont="1" applyBorder="1" applyAlignment="1" applyProtection="1">
      <alignment horizontal="center" vertical="center" wrapText="1"/>
      <protection hidden="1"/>
    </xf>
    <xf numFmtId="2" fontId="29" fillId="0" borderId="39" xfId="7" applyNumberFormat="1" applyFont="1" applyBorder="1" applyAlignment="1" applyProtection="1">
      <alignment horizontal="center" vertical="center" wrapText="1"/>
      <protection hidden="1"/>
    </xf>
    <xf numFmtId="0" fontId="0" fillId="29" borderId="0" xfId="0" applyFill="1" applyAlignment="1">
      <alignment wrapText="1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8" fillId="11" borderId="93" xfId="0" applyFont="1" applyFill="1" applyBorder="1" applyAlignment="1" applyProtection="1">
      <alignment vertical="center"/>
      <protection locked="0"/>
    </xf>
    <xf numFmtId="0" fontId="8" fillId="11" borderId="94" xfId="0" applyFont="1" applyFill="1" applyBorder="1" applyAlignment="1" applyProtection="1">
      <alignment horizontal="center" vertical="center"/>
      <protection hidden="1"/>
    </xf>
    <xf numFmtId="0" fontId="8" fillId="11" borderId="95" xfId="0" applyFont="1" applyFill="1" applyBorder="1" applyAlignment="1" applyProtection="1">
      <alignment vertical="center"/>
      <protection locked="0"/>
    </xf>
    <xf numFmtId="0" fontId="8" fillId="11" borderId="96" xfId="0" applyFont="1" applyFill="1" applyBorder="1" applyAlignment="1" applyProtection="1">
      <alignment horizontal="center" vertical="center"/>
      <protection hidden="1"/>
    </xf>
    <xf numFmtId="0" fontId="38" fillId="5" borderId="95" xfId="0" applyFont="1" applyFill="1" applyBorder="1" applyAlignment="1" applyProtection="1">
      <alignment vertical="center"/>
      <protection locked="0"/>
    </xf>
    <xf numFmtId="0" fontId="0" fillId="0" borderId="96" xfId="0" applyBorder="1" applyAlignment="1" applyProtection="1">
      <alignment horizontal="center" vertical="center"/>
      <protection hidden="1"/>
    </xf>
    <xf numFmtId="0" fontId="38" fillId="5" borderId="97" xfId="0" applyFont="1" applyFill="1" applyBorder="1" applyAlignment="1" applyProtection="1">
      <alignment vertical="center"/>
      <protection locked="0"/>
    </xf>
    <xf numFmtId="0" fontId="0" fillId="0" borderId="98" xfId="0" applyBorder="1" applyAlignment="1" applyProtection="1">
      <alignment horizontal="center" vertical="center"/>
      <protection hidden="1"/>
    </xf>
    <xf numFmtId="14" fontId="0" fillId="27" borderId="40" xfId="0" applyNumberFormat="1" applyFill="1" applyBorder="1" applyAlignment="1" applyProtection="1">
      <alignment wrapText="1"/>
      <protection locked="0"/>
    </xf>
    <xf numFmtId="14" fontId="0" fillId="0" borderId="99" xfId="0" applyNumberForma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14" fontId="0" fillId="27" borderId="99" xfId="0" applyNumberFormat="1" applyFill="1" applyBorder="1" applyAlignment="1" applyProtection="1">
      <alignment vertical="center"/>
      <protection locked="0"/>
    </xf>
    <xf numFmtId="14" fontId="0" fillId="0" borderId="99" xfId="0" applyNumberFormat="1" applyBorder="1" applyAlignment="1" applyProtection="1">
      <alignment horizontal="center" vertical="center"/>
      <protection locked="0"/>
    </xf>
    <xf numFmtId="14" fontId="0" fillId="29" borderId="0" xfId="0" applyNumberFormat="1" applyFill="1" applyAlignment="1">
      <alignment wrapText="1"/>
    </xf>
    <xf numFmtId="14" fontId="0" fillId="0" borderId="0" xfId="0" applyNumberFormat="1" applyAlignment="1">
      <alignment wrapText="1"/>
    </xf>
    <xf numFmtId="0" fontId="37" fillId="30" borderId="56" xfId="0" applyFont="1" applyFill="1" applyBorder="1" applyAlignment="1" applyProtection="1">
      <alignment horizontal="center" vertical="center"/>
      <protection locked="0"/>
    </xf>
    <xf numFmtId="0" fontId="37" fillId="30" borderId="57" xfId="0" applyFont="1" applyFill="1" applyBorder="1" applyAlignment="1" applyProtection="1">
      <alignment horizontal="center" vertical="center"/>
      <protection locked="0"/>
    </xf>
    <xf numFmtId="0" fontId="37" fillId="30" borderId="58" xfId="0" applyFont="1" applyFill="1" applyBorder="1" applyAlignment="1" applyProtection="1">
      <alignment horizontal="center" vertical="center"/>
      <protection locked="0"/>
    </xf>
    <xf numFmtId="0" fontId="37" fillId="30" borderId="53" xfId="0" applyFont="1" applyFill="1" applyBorder="1" applyAlignment="1" applyProtection="1">
      <alignment horizontal="center" vertical="center"/>
      <protection locked="0"/>
    </xf>
    <xf numFmtId="14" fontId="0" fillId="30" borderId="39" xfId="0" applyNumberFormat="1" applyFill="1" applyBorder="1" applyAlignment="1" applyProtection="1">
      <alignment horizontal="center" vertical="center" wrapText="1"/>
      <protection locked="0"/>
    </xf>
    <xf numFmtId="2" fontId="0" fillId="30" borderId="39" xfId="0" applyNumberFormat="1" applyFill="1" applyBorder="1" applyAlignment="1" applyProtection="1">
      <alignment horizontal="center" vertical="center" wrapText="1"/>
      <protection hidden="1"/>
    </xf>
    <xf numFmtId="2" fontId="0" fillId="30" borderId="54" xfId="0" applyNumberFormat="1" applyFill="1" applyBorder="1" applyAlignment="1" applyProtection="1">
      <alignment horizontal="center" vertical="center" wrapText="1"/>
      <protection hidden="1"/>
    </xf>
    <xf numFmtId="2" fontId="4" fillId="30" borderId="61" xfId="0" applyNumberFormat="1" applyFont="1" applyFill="1" applyBorder="1" applyAlignment="1" applyProtection="1">
      <alignment horizontal="center" vertical="center" wrapText="1"/>
      <protection hidden="1"/>
    </xf>
    <xf numFmtId="2" fontId="4" fillId="30" borderId="55" xfId="0" applyNumberFormat="1" applyFont="1" applyFill="1" applyBorder="1" applyAlignment="1" applyProtection="1">
      <alignment horizontal="center" vertical="center" wrapText="1"/>
      <protection hidden="1"/>
    </xf>
    <xf numFmtId="14" fontId="1" fillId="2" borderId="29" xfId="0" applyNumberFormat="1" applyFont="1" applyFill="1" applyBorder="1" applyAlignment="1" applyProtection="1">
      <alignment horizontal="center" vertical="center"/>
      <protection locked="0"/>
    </xf>
    <xf numFmtId="0" fontId="12" fillId="31" borderId="30" xfId="7" applyFont="1" applyFill="1" applyBorder="1" applyAlignment="1">
      <alignment horizontal="center" vertical="center" wrapText="1"/>
    </xf>
    <xf numFmtId="0" fontId="12" fillId="32" borderId="30" xfId="7" applyFont="1" applyFill="1" applyBorder="1" applyAlignment="1">
      <alignment horizontal="center" vertical="center" wrapText="1"/>
    </xf>
    <xf numFmtId="14" fontId="0" fillId="0" borderId="103" xfId="0" applyNumberFormat="1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0" fontId="0" fillId="0" borderId="105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0" fillId="0" borderId="107" xfId="0" applyBorder="1" applyAlignment="1">
      <alignment horizontal="center" vertical="center" wrapText="1"/>
    </xf>
    <xf numFmtId="0" fontId="77" fillId="0" borderId="0" xfId="0" applyFont="1" applyAlignment="1">
      <alignment wrapText="1"/>
    </xf>
    <xf numFmtId="0" fontId="78" fillId="0" borderId="0" xfId="0" applyFont="1"/>
    <xf numFmtId="0" fontId="40" fillId="0" borderId="85" xfId="7" applyFont="1" applyBorder="1" applyAlignment="1">
      <alignment horizontal="left" vertical="center" wrapText="1"/>
    </xf>
    <xf numFmtId="0" fontId="40" fillId="0" borderId="65" xfId="7" applyFont="1" applyBorder="1" applyAlignment="1">
      <alignment horizontal="left" vertical="center" wrapText="1"/>
    </xf>
    <xf numFmtId="0" fontId="78" fillId="0" borderId="65" xfId="0" applyFont="1" applyBorder="1"/>
    <xf numFmtId="0" fontId="78" fillId="0" borderId="49" xfId="0" applyFont="1" applyBorder="1"/>
    <xf numFmtId="0" fontId="79" fillId="0" borderId="5" xfId="0" applyFont="1" applyBorder="1"/>
    <xf numFmtId="0" fontId="79" fillId="0" borderId="48" xfId="0" applyFont="1" applyBorder="1"/>
    <xf numFmtId="0" fontId="80" fillId="0" borderId="7" xfId="0" applyFont="1" applyBorder="1"/>
    <xf numFmtId="0" fontId="78" fillId="0" borderId="47" xfId="0" applyFont="1" applyBorder="1"/>
    <xf numFmtId="0" fontId="40" fillId="0" borderId="82" xfId="7" applyFont="1" applyBorder="1" applyAlignment="1">
      <alignment horizontal="left" vertical="center" wrapText="1"/>
    </xf>
    <xf numFmtId="0" fontId="65" fillId="4" borderId="108" xfId="7" applyFont="1" applyFill="1" applyBorder="1" applyAlignment="1">
      <alignment horizontal="left" vertical="center" wrapText="1"/>
    </xf>
    <xf numFmtId="0" fontId="40" fillId="0" borderId="47" xfId="7" applyFont="1" applyBorder="1" applyAlignment="1">
      <alignment horizontal="left" vertical="center" wrapText="1"/>
    </xf>
    <xf numFmtId="0" fontId="78" fillId="0" borderId="6" xfId="0" applyFont="1" applyBorder="1"/>
    <xf numFmtId="0" fontId="40" fillId="0" borderId="84" xfId="7" applyFont="1" applyBorder="1" applyAlignment="1">
      <alignment horizontal="left" vertical="center" wrapText="1"/>
    </xf>
    <xf numFmtId="0" fontId="40" fillId="0" borderId="109" xfId="7" applyFont="1" applyBorder="1" applyAlignment="1">
      <alignment horizontal="left" vertical="center" wrapText="1"/>
    </xf>
    <xf numFmtId="0" fontId="78" fillId="0" borderId="110" xfId="0" applyFont="1" applyBorder="1"/>
    <xf numFmtId="0" fontId="79" fillId="0" borderId="47" xfId="0" applyFont="1" applyBorder="1"/>
    <xf numFmtId="0" fontId="78" fillId="0" borderId="3" xfId="0" applyFont="1" applyBorder="1"/>
    <xf numFmtId="0" fontId="79" fillId="0" borderId="65" xfId="0" applyFont="1" applyBorder="1"/>
    <xf numFmtId="0" fontId="78" fillId="0" borderId="66" xfId="0" applyFont="1" applyBorder="1"/>
    <xf numFmtId="0" fontId="79" fillId="0" borderId="110" xfId="0" applyFont="1" applyBorder="1"/>
    <xf numFmtId="0" fontId="78" fillId="0" borderId="83" xfId="7" applyFont="1" applyBorder="1" applyAlignment="1">
      <alignment horizontal="center" vertical="center" wrapText="1"/>
    </xf>
    <xf numFmtId="0" fontId="80" fillId="0" borderId="30" xfId="7" applyFont="1" applyBorder="1" applyAlignment="1">
      <alignment horizontal="center"/>
    </xf>
    <xf numFmtId="0" fontId="80" fillId="0" borderId="110" xfId="0" applyFont="1" applyBorder="1"/>
    <xf numFmtId="0" fontId="79" fillId="0" borderId="0" xfId="0" applyFont="1"/>
    <xf numFmtId="0" fontId="56" fillId="33" borderId="83" xfId="7" applyFont="1" applyFill="1" applyBorder="1" applyAlignment="1">
      <alignment horizontal="center" vertical="center" wrapText="1"/>
    </xf>
    <xf numFmtId="0" fontId="80" fillId="0" borderId="30" xfId="7" applyFont="1" applyBorder="1"/>
    <xf numFmtId="0" fontId="80" fillId="0" borderId="30" xfId="7" applyFont="1" applyBorder="1" applyAlignment="1">
      <alignment wrapText="1"/>
    </xf>
    <xf numFmtId="2" fontId="29" fillId="6" borderId="0" xfId="7" applyNumberFormat="1" applyFont="1" applyFill="1" applyAlignment="1" applyProtection="1">
      <alignment horizontal="left" vertical="center" wrapText="1"/>
      <protection locked="0"/>
    </xf>
    <xf numFmtId="2" fontId="29" fillId="6" borderId="114" xfId="7" applyNumberFormat="1" applyFont="1" applyFill="1" applyBorder="1" applyAlignment="1" applyProtection="1">
      <alignment horizontal="left" vertical="center" wrapText="1"/>
      <protection locked="0"/>
    </xf>
    <xf numFmtId="2" fontId="29" fillId="0" borderId="51" xfId="7" applyNumberFormat="1" applyFont="1" applyBorder="1" applyAlignment="1" applyProtection="1">
      <alignment horizontal="center" vertical="center" wrapText="1"/>
      <protection hidden="1"/>
    </xf>
    <xf numFmtId="2" fontId="20" fillId="0" borderId="51" xfId="7" applyNumberFormat="1" applyFont="1" applyBorder="1" applyAlignment="1" applyProtection="1">
      <alignment horizontal="center" vertical="center" wrapText="1"/>
      <protection locked="0"/>
    </xf>
    <xf numFmtId="2" fontId="20" fillId="0" borderId="52" xfId="7" applyNumberFormat="1" applyFont="1" applyBorder="1" applyAlignment="1" applyProtection="1">
      <alignment horizontal="center" vertical="center" wrapText="1"/>
      <protection hidden="1"/>
    </xf>
    <xf numFmtId="2" fontId="29" fillId="6" borderId="0" xfId="7" applyNumberFormat="1" applyFont="1" applyFill="1" applyAlignment="1" applyProtection="1">
      <alignment horizontal="center" vertical="center" wrapText="1"/>
      <protection locked="0"/>
    </xf>
    <xf numFmtId="2" fontId="29" fillId="0" borderId="60" xfId="7" applyNumberFormat="1" applyFont="1" applyBorder="1" applyAlignment="1" applyProtection="1">
      <alignment horizontal="center" vertical="center" wrapText="1"/>
      <protection locked="0"/>
    </xf>
    <xf numFmtId="2" fontId="29" fillId="0" borderId="117" xfId="7" applyNumberFormat="1" applyFont="1" applyBorder="1" applyAlignment="1" applyProtection="1">
      <alignment horizontal="center" vertical="center" wrapText="1"/>
      <protection hidden="1"/>
    </xf>
    <xf numFmtId="2" fontId="29" fillId="0" borderId="113" xfId="7" applyNumberFormat="1" applyFont="1" applyBorder="1" applyAlignment="1" applyProtection="1">
      <alignment horizontal="center" vertical="center" wrapText="1"/>
      <protection locked="0"/>
    </xf>
    <xf numFmtId="2" fontId="29" fillId="0" borderId="42" xfId="7" applyNumberFormat="1" applyFont="1" applyBorder="1" applyAlignment="1" applyProtection="1">
      <alignment horizontal="center" vertical="center" wrapText="1"/>
      <protection hidden="1"/>
    </xf>
    <xf numFmtId="2" fontId="29" fillId="0" borderId="99" xfId="7" applyNumberFormat="1" applyFont="1" applyBorder="1" applyAlignment="1" applyProtection="1">
      <alignment horizontal="center" vertical="center" wrapText="1"/>
      <protection locked="0"/>
    </xf>
    <xf numFmtId="2" fontId="29" fillId="6" borderId="119" xfId="7" applyNumberFormat="1" applyFont="1" applyFill="1" applyBorder="1" applyAlignment="1" applyProtection="1">
      <alignment horizontal="center" vertical="center" wrapText="1"/>
      <protection locked="0"/>
    </xf>
    <xf numFmtId="0" fontId="0" fillId="6" borderId="0" xfId="0" applyFill="1" applyAlignment="1">
      <alignment wrapText="1"/>
    </xf>
    <xf numFmtId="2" fontId="29" fillId="6" borderId="12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17" xfId="7" applyNumberFormat="1" applyFont="1" applyFill="1" applyBorder="1" applyAlignment="1" applyProtection="1">
      <alignment horizontal="left" vertical="center" wrapText="1"/>
      <protection locked="0"/>
    </xf>
    <xf numFmtId="0" fontId="0" fillId="6" borderId="123" xfId="0" applyFill="1" applyBorder="1" applyAlignment="1">
      <alignment wrapText="1"/>
    </xf>
    <xf numFmtId="2" fontId="29" fillId="6" borderId="124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25" xfId="7" applyNumberFormat="1" applyFont="1" applyFill="1" applyBorder="1" applyAlignment="1" applyProtection="1">
      <alignment horizontal="left" vertical="center" wrapText="1"/>
      <protection locked="0"/>
    </xf>
    <xf numFmtId="2" fontId="29" fillId="0" borderId="116" xfId="7" applyNumberFormat="1" applyFont="1" applyBorder="1" applyAlignment="1" applyProtection="1">
      <alignment horizontal="center" vertical="center" wrapText="1"/>
      <protection locked="0"/>
    </xf>
    <xf numFmtId="0" fontId="0" fillId="6" borderId="124" xfId="0" applyFill="1" applyBorder="1" applyAlignment="1">
      <alignment wrapText="1"/>
    </xf>
    <xf numFmtId="2" fontId="29" fillId="6" borderId="127" xfId="7" applyNumberFormat="1" applyFont="1" applyFill="1" applyBorder="1" applyAlignment="1" applyProtection="1">
      <alignment horizontal="left" vertical="center" wrapText="1"/>
      <protection locked="0"/>
    </xf>
    <xf numFmtId="0" fontId="0" fillId="6" borderId="118" xfId="0" applyFill="1" applyBorder="1" applyAlignment="1">
      <alignment wrapText="1"/>
    </xf>
    <xf numFmtId="2" fontId="29" fillId="6" borderId="119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28" xfId="7" applyNumberFormat="1" applyFont="1" applyFill="1" applyBorder="1" applyAlignment="1" applyProtection="1">
      <alignment horizontal="left" vertical="center" wrapText="1"/>
      <protection locked="0"/>
    </xf>
    <xf numFmtId="0" fontId="0" fillId="6" borderId="130" xfId="0" applyFill="1" applyBorder="1" applyAlignment="1">
      <alignment wrapText="1"/>
    </xf>
    <xf numFmtId="2" fontId="29" fillId="6" borderId="13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27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25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28" xfId="7" applyNumberFormat="1" applyFont="1" applyFill="1" applyBorder="1" applyAlignment="1" applyProtection="1">
      <alignment horizontal="center" vertical="center" wrapText="1"/>
      <protection locked="0"/>
    </xf>
    <xf numFmtId="2" fontId="29" fillId="0" borderId="132" xfId="7" applyNumberFormat="1" applyFont="1" applyBorder="1" applyAlignment="1" applyProtection="1">
      <alignment horizontal="center" vertical="center" wrapText="1"/>
      <protection locked="0"/>
    </xf>
    <xf numFmtId="2" fontId="29" fillId="0" borderId="133" xfId="7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2" fontId="29" fillId="6" borderId="131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34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29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34" xfId="7" applyNumberFormat="1" applyFont="1" applyFill="1" applyBorder="1" applyAlignment="1" applyProtection="1">
      <alignment horizontal="left" vertical="center" wrapText="1"/>
      <protection locked="0"/>
    </xf>
    <xf numFmtId="0" fontId="14" fillId="0" borderId="118" xfId="7" applyFont="1" applyBorder="1" applyAlignment="1" applyProtection="1">
      <alignment horizontal="center" vertical="center" wrapText="1"/>
      <protection locked="0"/>
    </xf>
    <xf numFmtId="0" fontId="14" fillId="0" borderId="119" xfId="7" applyFont="1" applyBorder="1" applyAlignment="1" applyProtection="1">
      <alignment horizontal="center" vertical="center" wrapText="1"/>
      <protection locked="0"/>
    </xf>
    <xf numFmtId="0" fontId="12" fillId="0" borderId="119" xfId="7" applyFont="1" applyBorder="1" applyAlignment="1" applyProtection="1">
      <alignment horizontal="center" vertical="center" wrapText="1"/>
      <protection locked="0"/>
    </xf>
    <xf numFmtId="0" fontId="47" fillId="0" borderId="119" xfId="7" applyFont="1" applyBorder="1" applyProtection="1">
      <protection locked="0"/>
    </xf>
    <xf numFmtId="0" fontId="10" fillId="0" borderId="119" xfId="7" applyFont="1" applyBorder="1" applyAlignment="1" applyProtection="1">
      <alignment horizontal="center" vertical="center"/>
      <protection locked="0"/>
    </xf>
    <xf numFmtId="0" fontId="10" fillId="0" borderId="128" xfId="7" applyFont="1" applyBorder="1" applyAlignment="1" applyProtection="1">
      <alignment horizontal="center" vertical="center"/>
      <protection locked="0"/>
    </xf>
    <xf numFmtId="0" fontId="42" fillId="0" borderId="130" xfId="7" applyFont="1" applyBorder="1" applyProtection="1">
      <protection locked="0"/>
    </xf>
    <xf numFmtId="0" fontId="47" fillId="0" borderId="131" xfId="7" applyFont="1" applyBorder="1" applyProtection="1">
      <protection locked="0"/>
    </xf>
    <xf numFmtId="0" fontId="69" fillId="0" borderId="136" xfId="7" applyFont="1" applyBorder="1" applyAlignment="1" applyProtection="1">
      <alignment horizontal="center" vertical="center"/>
      <protection locked="0"/>
    </xf>
    <xf numFmtId="0" fontId="10" fillId="0" borderId="130" xfId="7" applyFont="1" applyBorder="1" applyProtection="1">
      <protection locked="0"/>
    </xf>
    <xf numFmtId="2" fontId="10" fillId="0" borderId="131" xfId="7" applyNumberFormat="1" applyFont="1" applyBorder="1" applyProtection="1">
      <protection locked="0"/>
    </xf>
    <xf numFmtId="0" fontId="17" fillId="0" borderId="136" xfId="7" applyFont="1" applyBorder="1" applyAlignment="1" applyProtection="1">
      <alignment horizontal="center" vertical="center"/>
      <protection locked="0"/>
    </xf>
    <xf numFmtId="0" fontId="48" fillId="0" borderId="130" xfId="7" applyFont="1" applyBorder="1" applyAlignment="1" applyProtection="1">
      <alignment horizontal="left" vertical="center" wrapText="1"/>
      <protection locked="0"/>
    </xf>
    <xf numFmtId="0" fontId="12" fillId="0" borderId="0" xfId="7" applyFont="1" applyProtection="1">
      <protection locked="0"/>
    </xf>
    <xf numFmtId="2" fontId="12" fillId="0" borderId="131" xfId="7" applyNumberFormat="1" applyFont="1" applyBorder="1" applyProtection="1">
      <protection locked="0"/>
    </xf>
    <xf numFmtId="2" fontId="17" fillId="5" borderId="139" xfId="7" applyNumberFormat="1" applyFont="1" applyFill="1" applyBorder="1" applyAlignment="1" applyProtection="1">
      <alignment horizontal="center" vertical="center" wrapText="1"/>
      <protection locked="0"/>
    </xf>
    <xf numFmtId="2" fontId="68" fillId="18" borderId="140" xfId="7" applyNumberFormat="1" applyFont="1" applyFill="1" applyBorder="1" applyAlignment="1" applyProtection="1">
      <alignment horizontal="center" vertical="center"/>
      <protection hidden="1"/>
    </xf>
    <xf numFmtId="2" fontId="20" fillId="0" borderId="141" xfId="7" applyNumberFormat="1" applyFont="1" applyBorder="1" applyAlignment="1" applyProtection="1">
      <alignment horizontal="center" vertical="center" wrapText="1"/>
      <protection hidden="1"/>
    </xf>
    <xf numFmtId="2" fontId="68" fillId="19" borderId="140" xfId="7" applyNumberFormat="1" applyFont="1" applyFill="1" applyBorder="1" applyAlignment="1" applyProtection="1">
      <alignment horizontal="center" vertical="center"/>
      <protection hidden="1"/>
    </xf>
    <xf numFmtId="2" fontId="20" fillId="0" borderId="137" xfId="7" applyNumberFormat="1" applyFont="1" applyBorder="1" applyAlignment="1" applyProtection="1">
      <alignment horizontal="center" vertical="center" wrapText="1"/>
      <protection hidden="1"/>
    </xf>
    <xf numFmtId="2" fontId="29" fillId="0" borderId="122" xfId="7" applyNumberFormat="1" applyFont="1" applyBorder="1" applyAlignment="1" applyProtection="1">
      <alignment horizontal="center" vertical="center" wrapText="1"/>
      <protection hidden="1"/>
    </xf>
    <xf numFmtId="2" fontId="29" fillId="0" borderId="142" xfId="7" applyNumberFormat="1" applyFont="1" applyBorder="1" applyAlignment="1" applyProtection="1">
      <alignment horizontal="center" vertical="center" wrapText="1"/>
      <protection hidden="1"/>
    </xf>
    <xf numFmtId="2" fontId="20" fillId="0" borderId="142" xfId="7" applyNumberFormat="1" applyFont="1" applyBorder="1" applyAlignment="1" applyProtection="1">
      <alignment horizontal="center" vertical="center" wrapText="1"/>
      <protection locked="0"/>
    </xf>
    <xf numFmtId="2" fontId="20" fillId="0" borderId="143" xfId="7" applyNumberFormat="1" applyFont="1" applyBorder="1" applyAlignment="1" applyProtection="1">
      <alignment horizontal="center" vertical="center" wrapText="1"/>
      <protection hidden="1"/>
    </xf>
    <xf numFmtId="0" fontId="12" fillId="15" borderId="99" xfId="7" applyFont="1" applyFill="1" applyBorder="1" applyAlignment="1" applyProtection="1">
      <alignment horizontal="center" vertical="center" wrapText="1"/>
      <protection locked="0"/>
    </xf>
    <xf numFmtId="0" fontId="14" fillId="6" borderId="99" xfId="7" applyFont="1" applyFill="1" applyBorder="1" applyAlignment="1" applyProtection="1">
      <alignment horizontal="center" vertical="center" wrapText="1"/>
      <protection hidden="1"/>
    </xf>
    <xf numFmtId="0" fontId="17" fillId="6" borderId="99" xfId="7" applyFont="1" applyFill="1" applyBorder="1" applyAlignment="1" applyProtection="1">
      <alignment horizontal="center" vertical="center"/>
      <protection hidden="1"/>
    </xf>
    <xf numFmtId="0" fontId="12" fillId="15" borderId="144" xfId="7" applyFont="1" applyFill="1" applyBorder="1" applyAlignment="1" applyProtection="1">
      <alignment horizontal="center" vertical="center" wrapText="1"/>
      <protection locked="0"/>
    </xf>
    <xf numFmtId="0" fontId="10" fillId="6" borderId="144" xfId="7" applyFont="1" applyFill="1" applyBorder="1" applyAlignment="1" applyProtection="1">
      <alignment horizontal="center" vertical="center"/>
      <protection hidden="1"/>
    </xf>
    <xf numFmtId="2" fontId="29" fillId="0" borderId="135" xfId="7" applyNumberFormat="1" applyFont="1" applyBorder="1" applyAlignment="1" applyProtection="1">
      <alignment horizontal="center" vertical="center" wrapText="1"/>
      <protection locked="0"/>
    </xf>
    <xf numFmtId="2" fontId="29" fillId="0" borderId="145" xfId="7" applyNumberFormat="1" applyFont="1" applyBorder="1" applyAlignment="1" applyProtection="1">
      <alignment horizontal="center" vertical="center" wrapText="1"/>
      <protection locked="0"/>
    </xf>
    <xf numFmtId="2" fontId="29" fillId="0" borderId="146" xfId="7" applyNumberFormat="1" applyFont="1" applyBorder="1" applyAlignment="1" applyProtection="1">
      <alignment horizontal="center" vertical="center" wrapText="1"/>
      <protection locked="0"/>
    </xf>
    <xf numFmtId="2" fontId="29" fillId="0" borderId="153" xfId="7" applyNumberFormat="1" applyFont="1" applyBorder="1" applyAlignment="1" applyProtection="1">
      <alignment horizontal="center" vertical="center" wrapText="1"/>
      <protection locked="0"/>
    </xf>
    <xf numFmtId="2" fontId="29" fillId="6" borderId="120" xfId="7" applyNumberFormat="1" applyFont="1" applyFill="1" applyBorder="1" applyAlignment="1" applyProtection="1">
      <alignment horizontal="left" vertical="center" wrapText="1"/>
      <protection locked="0"/>
    </xf>
    <xf numFmtId="14" fontId="76" fillId="0" borderId="0" xfId="0" applyNumberFormat="1" applyFont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156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71" xfId="0" applyFill="1" applyBorder="1" applyAlignment="1">
      <alignment horizontal="center" vertical="center" wrapText="1"/>
    </xf>
    <xf numFmtId="0" fontId="0" fillId="7" borderId="13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44" xfId="0" applyFill="1" applyBorder="1" applyAlignment="1">
      <alignment horizontal="center" vertical="center" wrapText="1"/>
    </xf>
    <xf numFmtId="0" fontId="0" fillId="7" borderId="104" xfId="0" applyFill="1" applyBorder="1" applyAlignment="1">
      <alignment horizontal="center" vertical="center" wrapText="1"/>
    </xf>
    <xf numFmtId="0" fontId="0" fillId="7" borderId="155" xfId="0" applyFill="1" applyBorder="1" applyAlignment="1">
      <alignment horizontal="center" vertical="center" wrapText="1"/>
    </xf>
    <xf numFmtId="0" fontId="0" fillId="7" borderId="157" xfId="0" applyFill="1" applyBorder="1" applyAlignment="1">
      <alignment horizontal="center" vertical="center" wrapText="1"/>
    </xf>
    <xf numFmtId="0" fontId="0" fillId="0" borderId="159" xfId="0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81" fillId="0" borderId="106" xfId="0" applyFont="1" applyBorder="1" applyAlignment="1">
      <alignment horizontal="center" vertical="center" wrapText="1"/>
    </xf>
    <xf numFmtId="0" fontId="80" fillId="0" borderId="30" xfId="0" applyFont="1" applyBorder="1"/>
    <xf numFmtId="0" fontId="0" fillId="0" borderId="71" xfId="0" applyBorder="1" applyAlignment="1">
      <alignment horizontal="center" vertical="center" wrapText="1"/>
    </xf>
    <xf numFmtId="0" fontId="0" fillId="0" borderId="158" xfId="0" applyBorder="1" applyAlignment="1">
      <alignment horizontal="center" vertical="center"/>
    </xf>
    <xf numFmtId="0" fontId="12" fillId="6" borderId="39" xfId="7" applyFont="1" applyFill="1" applyBorder="1" applyAlignment="1" applyProtection="1">
      <alignment horizontal="center" vertical="center" wrapText="1"/>
      <protection locked="0"/>
    </xf>
    <xf numFmtId="0" fontId="36" fillId="30" borderId="59" xfId="0" applyFont="1" applyFill="1" applyBorder="1" applyAlignment="1" applyProtection="1">
      <alignment horizontal="center" vertical="center"/>
      <protection locked="0"/>
    </xf>
    <xf numFmtId="0" fontId="36" fillId="30" borderId="60" xfId="0" applyFont="1" applyFill="1" applyBorder="1" applyAlignment="1" applyProtection="1">
      <alignment horizontal="center" vertical="center"/>
      <protection locked="0"/>
    </xf>
    <xf numFmtId="14" fontId="0" fillId="0" borderId="39" xfId="0" applyNumberFormat="1" applyBorder="1" applyAlignment="1" applyProtection="1">
      <alignment horizontal="left" vertical="top" wrapText="1"/>
      <protection locked="0"/>
    </xf>
    <xf numFmtId="14" fontId="0" fillId="27" borderId="87" xfId="0" applyNumberFormat="1" applyFill="1" applyBorder="1" applyAlignment="1" applyProtection="1">
      <alignment horizontal="center" wrapText="1"/>
      <protection locked="0"/>
    </xf>
    <xf numFmtId="14" fontId="0" fillId="27" borderId="100" xfId="0" applyNumberFormat="1" applyFill="1" applyBorder="1" applyAlignment="1" applyProtection="1">
      <alignment horizontal="center" wrapText="1"/>
      <protection locked="0"/>
    </xf>
    <xf numFmtId="14" fontId="0" fillId="0" borderId="88" xfId="0" applyNumberFormat="1" applyBorder="1" applyAlignment="1" applyProtection="1">
      <alignment horizontal="center" wrapText="1"/>
      <protection locked="0"/>
    </xf>
    <xf numFmtId="14" fontId="0" fillId="0" borderId="101" xfId="0" applyNumberFormat="1" applyBorder="1" applyAlignment="1" applyProtection="1">
      <alignment horizontal="center" wrapText="1"/>
      <protection locked="0"/>
    </xf>
    <xf numFmtId="0" fontId="25" fillId="4" borderId="0" xfId="0" applyFont="1" applyFill="1" applyAlignment="1" applyProtection="1">
      <alignment horizontal="center" vertical="center"/>
      <protection locked="0"/>
    </xf>
    <xf numFmtId="0" fontId="37" fillId="6" borderId="39" xfId="0" applyFont="1" applyFill="1" applyBorder="1" applyAlignment="1" applyProtection="1">
      <alignment horizontal="center" vertical="center"/>
      <protection locked="0"/>
    </xf>
    <xf numFmtId="0" fontId="37" fillId="6" borderId="39" xfId="0" applyFont="1" applyFill="1" applyBorder="1" applyAlignment="1" applyProtection="1">
      <alignment horizontal="center" vertical="center" wrapText="1"/>
      <protection locked="0"/>
    </xf>
    <xf numFmtId="0" fontId="37" fillId="6" borderId="40" xfId="0" applyFont="1" applyFill="1" applyBorder="1" applyAlignment="1" applyProtection="1">
      <alignment horizontal="center" vertical="center" wrapText="1"/>
      <protection locked="0"/>
    </xf>
    <xf numFmtId="0" fontId="37" fillId="6" borderId="41" xfId="0" applyFont="1" applyFill="1" applyBorder="1" applyAlignment="1" applyProtection="1">
      <alignment horizontal="center" vertical="center" wrapText="1"/>
      <protection locked="0"/>
    </xf>
    <xf numFmtId="0" fontId="37" fillId="6" borderId="38" xfId="0" applyFont="1" applyFill="1" applyBorder="1" applyAlignment="1" applyProtection="1">
      <alignment horizontal="center" vertical="center"/>
      <protection locked="0"/>
    </xf>
    <xf numFmtId="0" fontId="36" fillId="6" borderId="40" xfId="0" applyFont="1" applyFill="1" applyBorder="1" applyAlignment="1" applyProtection="1">
      <alignment horizontal="center" vertical="center"/>
      <protection locked="0"/>
    </xf>
    <xf numFmtId="0" fontId="36" fillId="6" borderId="41" xfId="0" applyFont="1" applyFill="1" applyBorder="1" applyAlignment="1" applyProtection="1">
      <alignment horizontal="center" vertical="center"/>
      <protection locked="0"/>
    </xf>
    <xf numFmtId="0" fontId="36" fillId="6" borderId="42" xfId="0" applyFont="1" applyFill="1" applyBorder="1" applyAlignment="1" applyProtection="1">
      <alignment horizontal="center" vertical="center"/>
      <protection locked="0"/>
    </xf>
    <xf numFmtId="0" fontId="26" fillId="11" borderId="29" xfId="5" applyFont="1" applyFill="1" applyBorder="1" applyAlignment="1" applyProtection="1">
      <alignment horizontal="center" vertical="center" wrapText="1"/>
      <protection locked="0"/>
    </xf>
    <xf numFmtId="0" fontId="22" fillId="0" borderId="0" xfId="7" applyFont="1" applyAlignment="1">
      <alignment horizontal="center" wrapText="1"/>
    </xf>
    <xf numFmtId="0" fontId="39" fillId="0" borderId="0" xfId="7"/>
    <xf numFmtId="0" fontId="40" fillId="0" borderId="74" xfId="7" applyFont="1" applyBorder="1" applyAlignment="1">
      <alignment horizontal="center" vertical="center" wrapText="1"/>
    </xf>
    <xf numFmtId="0" fontId="41" fillId="0" borderId="75" xfId="7" applyFont="1" applyBorder="1"/>
    <xf numFmtId="0" fontId="41" fillId="0" borderId="76" xfId="7" applyFont="1" applyBorder="1"/>
    <xf numFmtId="0" fontId="41" fillId="0" borderId="77" xfId="7" applyFont="1" applyBorder="1"/>
    <xf numFmtId="0" fontId="41" fillId="0" borderId="78" xfId="7" applyFont="1" applyBorder="1"/>
    <xf numFmtId="0" fontId="41" fillId="0" borderId="79" xfId="7" applyFont="1" applyBorder="1"/>
    <xf numFmtId="0" fontId="41" fillId="0" borderId="80" xfId="7" applyFont="1" applyBorder="1"/>
    <xf numFmtId="0" fontId="41" fillId="0" borderId="81" xfId="7" applyFont="1" applyBorder="1"/>
    <xf numFmtId="0" fontId="40" fillId="0" borderId="3" xfId="7" applyFont="1" applyBorder="1" applyAlignment="1">
      <alignment horizontal="center" vertical="center" wrapText="1"/>
    </xf>
    <xf numFmtId="0" fontId="41" fillId="0" borderId="4" xfId="7" applyFont="1" applyBorder="1"/>
    <xf numFmtId="0" fontId="41" fillId="0" borderId="5" xfId="7" applyFont="1" applyBorder="1"/>
    <xf numFmtId="0" fontId="41" fillId="0" borderId="6" xfId="7" applyFont="1" applyBorder="1"/>
    <xf numFmtId="0" fontId="41" fillId="0" borderId="7" xfId="7" applyFont="1" applyBorder="1"/>
    <xf numFmtId="0" fontId="41" fillId="0" borderId="43" xfId="7" applyFont="1" applyBorder="1"/>
    <xf numFmtId="0" fontId="41" fillId="0" borderId="44" xfId="7" applyFont="1" applyBorder="1"/>
    <xf numFmtId="0" fontId="41" fillId="0" borderId="45" xfId="7" applyFont="1" applyBorder="1"/>
    <xf numFmtId="2" fontId="29" fillId="6" borderId="16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4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42" xfId="7" applyNumberFormat="1" applyFont="1" applyFill="1" applyBorder="1" applyAlignment="1" applyProtection="1">
      <alignment horizontal="left" vertical="center" wrapText="1"/>
      <protection locked="0"/>
    </xf>
    <xf numFmtId="0" fontId="16" fillId="6" borderId="39" xfId="7" applyFont="1" applyFill="1" applyBorder="1" applyAlignment="1" applyProtection="1">
      <alignment horizontal="left" vertical="center" wrapText="1"/>
      <protection locked="0"/>
    </xf>
    <xf numFmtId="0" fontId="41" fillId="6" borderId="39" xfId="7" applyFont="1" applyFill="1" applyBorder="1" applyProtection="1">
      <protection locked="0"/>
    </xf>
    <xf numFmtId="0" fontId="45" fillId="0" borderId="39" xfId="7" applyFont="1" applyBorder="1" applyAlignment="1" applyProtection="1">
      <alignment horizontal="center" vertical="center" wrapText="1"/>
      <protection locked="0"/>
    </xf>
    <xf numFmtId="0" fontId="46" fillId="0" borderId="39" xfId="7" applyFont="1" applyBorder="1" applyAlignment="1" applyProtection="1">
      <alignment horizontal="center"/>
      <protection locked="0"/>
    </xf>
    <xf numFmtId="0" fontId="45" fillId="0" borderId="40" xfId="7" applyFont="1" applyBorder="1" applyAlignment="1" applyProtection="1">
      <alignment horizontal="center" vertical="center" wrapText="1"/>
      <protection locked="0"/>
    </xf>
    <xf numFmtId="0" fontId="45" fillId="0" borderId="41" xfId="7" applyFont="1" applyBorder="1" applyAlignment="1" applyProtection="1">
      <alignment horizontal="center" vertical="center" wrapText="1"/>
      <protection locked="0"/>
    </xf>
    <xf numFmtId="0" fontId="45" fillId="0" borderId="42" xfId="7" applyFont="1" applyBorder="1" applyAlignment="1" applyProtection="1">
      <alignment horizontal="center" vertical="center" wrapText="1"/>
      <protection locked="0"/>
    </xf>
    <xf numFmtId="0" fontId="17" fillId="15" borderId="40" xfId="7" applyFont="1" applyFill="1" applyBorder="1" applyAlignment="1" applyProtection="1">
      <alignment horizontal="center" vertical="center" wrapText="1"/>
      <protection locked="0"/>
    </xf>
    <xf numFmtId="0" fontId="17" fillId="15" borderId="41" xfId="7" applyFont="1" applyFill="1" applyBorder="1" applyAlignment="1" applyProtection="1">
      <alignment horizontal="center" vertical="center" wrapText="1"/>
      <protection locked="0"/>
    </xf>
    <xf numFmtId="0" fontId="17" fillId="15" borderId="42" xfId="7" applyFont="1" applyFill="1" applyBorder="1" applyAlignment="1" applyProtection="1">
      <alignment horizontal="center" vertical="center" wrapText="1"/>
      <protection locked="0"/>
    </xf>
    <xf numFmtId="0" fontId="14" fillId="0" borderId="40" xfId="7" applyFont="1" applyBorder="1" applyAlignment="1" applyProtection="1">
      <alignment horizontal="left" vertical="center" wrapText="1"/>
      <protection locked="0"/>
    </xf>
    <xf numFmtId="0" fontId="14" fillId="0" borderId="41" xfId="7" applyFont="1" applyBorder="1" applyAlignment="1" applyProtection="1">
      <alignment horizontal="left" vertical="center" wrapText="1"/>
      <protection locked="0"/>
    </xf>
    <xf numFmtId="0" fontId="14" fillId="0" borderId="166" xfId="7" applyFont="1" applyBorder="1" applyAlignment="1" applyProtection="1">
      <alignment horizontal="left" vertical="center" wrapText="1"/>
      <protection locked="0"/>
    </xf>
    <xf numFmtId="0" fontId="17" fillId="5" borderId="163" xfId="7" applyFont="1" applyFill="1" applyBorder="1" applyAlignment="1" applyProtection="1">
      <alignment horizontal="center" vertical="center" wrapText="1"/>
      <protection locked="0"/>
    </xf>
    <xf numFmtId="0" fontId="17" fillId="5" borderId="164" xfId="7" applyFont="1" applyFill="1" applyBorder="1" applyAlignment="1" applyProtection="1">
      <alignment horizontal="center" vertical="center" wrapText="1"/>
      <protection locked="0"/>
    </xf>
    <xf numFmtId="0" fontId="17" fillId="5" borderId="165" xfId="7" applyFont="1" applyFill="1" applyBorder="1" applyAlignment="1" applyProtection="1">
      <alignment horizontal="center" vertical="center" wrapText="1"/>
      <protection locked="0"/>
    </xf>
    <xf numFmtId="0" fontId="23" fillId="17" borderId="162" xfId="7" applyFont="1" applyFill="1" applyBorder="1" applyAlignment="1" applyProtection="1">
      <alignment horizontal="center" vertical="center"/>
      <protection locked="0"/>
    </xf>
    <xf numFmtId="0" fontId="23" fillId="17" borderId="148" xfId="7" applyFont="1" applyFill="1" applyBorder="1" applyAlignment="1" applyProtection="1">
      <alignment horizontal="center" vertical="center"/>
      <protection locked="0"/>
    </xf>
    <xf numFmtId="0" fontId="23" fillId="17" borderId="126" xfId="7" applyFont="1" applyFill="1" applyBorder="1" applyAlignment="1" applyProtection="1">
      <alignment horizontal="center" vertical="center"/>
      <protection locked="0"/>
    </xf>
    <xf numFmtId="2" fontId="29" fillId="6" borderId="160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02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60" xfId="7" applyNumberFormat="1" applyFont="1" applyFill="1" applyBorder="1" applyAlignment="1" applyProtection="1">
      <alignment horizontal="left" vertical="center" wrapText="1"/>
      <protection locked="0"/>
    </xf>
    <xf numFmtId="0" fontId="23" fillId="17" borderId="138" xfId="7" applyFont="1" applyFill="1" applyBorder="1" applyAlignment="1" applyProtection="1">
      <alignment horizontal="center" vertical="center"/>
      <protection locked="0"/>
    </xf>
    <xf numFmtId="0" fontId="67" fillId="0" borderId="63" xfId="7" applyFont="1" applyBorder="1" applyAlignment="1" applyProtection="1">
      <alignment horizontal="center"/>
      <protection locked="0"/>
    </xf>
    <xf numFmtId="0" fontId="67" fillId="0" borderId="57" xfId="7" applyFont="1" applyBorder="1" applyAlignment="1" applyProtection="1">
      <alignment horizontal="center"/>
      <protection locked="0"/>
    </xf>
    <xf numFmtId="0" fontId="23" fillId="17" borderId="152" xfId="7" applyFont="1" applyFill="1" applyBorder="1" applyAlignment="1" applyProtection="1">
      <alignment horizontal="center" vertical="center"/>
      <protection locked="0"/>
    </xf>
    <xf numFmtId="0" fontId="67" fillId="0" borderId="115" xfId="7" applyFont="1" applyBorder="1" applyAlignment="1" applyProtection="1">
      <alignment horizontal="center"/>
      <protection locked="0"/>
    </xf>
    <xf numFmtId="0" fontId="67" fillId="0" borderId="51" xfId="7" applyFont="1" applyBorder="1" applyAlignment="1" applyProtection="1">
      <alignment horizontal="center"/>
      <protection locked="0"/>
    </xf>
    <xf numFmtId="0" fontId="51" fillId="0" borderId="111" xfId="7" applyFont="1" applyBorder="1" applyAlignment="1" applyProtection="1">
      <alignment horizontal="left" vertical="center" wrapText="1"/>
      <protection locked="0"/>
    </xf>
    <xf numFmtId="0" fontId="51" fillId="0" borderId="112" xfId="7" applyFont="1" applyBorder="1" applyAlignment="1" applyProtection="1">
      <alignment horizontal="left" vertical="center" wrapText="1"/>
      <protection locked="0"/>
    </xf>
    <xf numFmtId="0" fontId="0" fillId="6" borderId="124" xfId="0" applyFill="1" applyBorder="1" applyAlignment="1">
      <alignment horizontal="left" wrapText="1"/>
    </xf>
    <xf numFmtId="0" fontId="0" fillId="6" borderId="127" xfId="0" applyFill="1" applyBorder="1" applyAlignment="1">
      <alignment horizontal="left" wrapText="1"/>
    </xf>
    <xf numFmtId="0" fontId="0" fillId="6" borderId="125" xfId="0" applyFill="1" applyBorder="1" applyAlignment="1">
      <alignment horizontal="left" wrapText="1"/>
    </xf>
    <xf numFmtId="0" fontId="52" fillId="0" borderId="149" xfId="7" applyFont="1" applyBorder="1" applyAlignment="1" applyProtection="1">
      <alignment horizontal="left" vertical="top" wrapText="1"/>
      <protection locked="0"/>
    </xf>
    <xf numFmtId="0" fontId="52" fillId="0" borderId="150" xfId="7" applyFont="1" applyBorder="1" applyAlignment="1" applyProtection="1">
      <alignment horizontal="left" vertical="top" wrapText="1"/>
      <protection locked="0"/>
    </xf>
    <xf numFmtId="0" fontId="52" fillId="0" borderId="151" xfId="7" applyFont="1" applyBorder="1" applyAlignment="1" applyProtection="1">
      <alignment horizontal="left" vertical="top" wrapText="1"/>
      <protection locked="0"/>
    </xf>
    <xf numFmtId="0" fontId="23" fillId="17" borderId="147" xfId="7" applyFont="1" applyFill="1" applyBorder="1" applyAlignment="1" applyProtection="1">
      <alignment horizontal="center" vertical="center"/>
      <protection locked="0"/>
    </xf>
    <xf numFmtId="2" fontId="29" fillId="6" borderId="59" xfId="7" applyNumberFormat="1" applyFont="1" applyFill="1" applyBorder="1" applyAlignment="1" applyProtection="1">
      <alignment horizontal="left" vertical="center" wrapText="1"/>
      <protection locked="0"/>
    </xf>
    <xf numFmtId="0" fontId="50" fillId="20" borderId="147" xfId="7" applyFont="1" applyFill="1" applyBorder="1" applyAlignment="1" applyProtection="1">
      <alignment horizontal="left" vertical="center" wrapText="1"/>
      <protection locked="0"/>
    </xf>
    <xf numFmtId="0" fontId="50" fillId="20" borderId="148" xfId="7" applyFont="1" applyFill="1" applyBorder="1" applyAlignment="1" applyProtection="1">
      <alignment horizontal="left" vertical="center" wrapText="1"/>
      <protection locked="0"/>
    </xf>
    <xf numFmtId="0" fontId="50" fillId="20" borderId="126" xfId="7" applyFont="1" applyFill="1" applyBorder="1" applyAlignment="1" applyProtection="1">
      <alignment horizontal="left" vertical="center" wrapText="1"/>
      <protection locked="0"/>
    </xf>
    <xf numFmtId="0" fontId="5" fillId="28" borderId="0" xfId="0" applyFont="1" applyFill="1" applyAlignment="1">
      <alignment horizontal="center" wrapText="1"/>
    </xf>
    <xf numFmtId="0" fontId="25" fillId="11" borderId="0" xfId="0" applyFont="1" applyFill="1" applyAlignment="1" applyProtection="1">
      <alignment horizontal="center" vertical="center"/>
      <protection locked="0"/>
    </xf>
    <xf numFmtId="49" fontId="0" fillId="2" borderId="30" xfId="0" applyNumberFormat="1" applyFill="1" applyBorder="1" applyAlignment="1" applyProtection="1">
      <alignment horizontal="left" vertical="top" wrapText="1"/>
      <protection locked="0"/>
    </xf>
    <xf numFmtId="0" fontId="4" fillId="15" borderId="3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34" fillId="3" borderId="10" xfId="0" applyFont="1" applyFill="1" applyBorder="1" applyAlignment="1" applyProtection="1">
      <alignment horizontal="center" vertical="center"/>
      <protection locked="0"/>
    </xf>
    <xf numFmtId="0" fontId="34" fillId="3" borderId="14" xfId="0" applyFont="1" applyFill="1" applyBorder="1" applyAlignment="1" applyProtection="1">
      <alignment horizontal="center" vertical="center"/>
      <protection locked="0"/>
    </xf>
    <xf numFmtId="1" fontId="0" fillId="2" borderId="30" xfId="0" applyNumberFormat="1" applyFill="1" applyBorder="1" applyAlignment="1" applyProtection="1">
      <alignment horizontal="left" vertical="top" wrapText="1"/>
      <protection locked="0"/>
    </xf>
    <xf numFmtId="0" fontId="25" fillId="10" borderId="30" xfId="0" applyFont="1" applyFill="1" applyBorder="1" applyAlignment="1" applyProtection="1">
      <alignment horizontal="center" vertical="center"/>
      <protection locked="0"/>
    </xf>
    <xf numFmtId="0" fontId="25" fillId="10" borderId="31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left" vertical="center"/>
      <protection locked="0"/>
    </xf>
    <xf numFmtId="0" fontId="33" fillId="6" borderId="23" xfId="0" applyFont="1" applyFill="1" applyBorder="1" applyAlignment="1" applyProtection="1">
      <alignment horizontal="center" vertical="center"/>
      <protection locked="0"/>
    </xf>
    <xf numFmtId="0" fontId="33" fillId="6" borderId="25" xfId="0" applyFont="1" applyFill="1" applyBorder="1" applyAlignment="1" applyProtection="1">
      <alignment horizontal="center" vertical="center"/>
      <protection locked="0"/>
    </xf>
    <xf numFmtId="0" fontId="33" fillId="6" borderId="26" xfId="0" applyFont="1" applyFill="1" applyBorder="1" applyAlignment="1" applyProtection="1">
      <alignment horizontal="center" vertical="center"/>
      <protection locked="0"/>
    </xf>
    <xf numFmtId="0" fontId="72" fillId="23" borderId="65" xfId="0" applyFont="1" applyFill="1" applyBorder="1" applyAlignment="1">
      <alignment horizontal="center" vertical="center" wrapText="1"/>
    </xf>
    <xf numFmtId="0" fontId="9" fillId="0" borderId="49" xfId="0" applyFont="1" applyBorder="1"/>
    <xf numFmtId="0" fontId="65" fillId="23" borderId="66" xfId="0" applyFont="1" applyFill="1" applyBorder="1" applyAlignment="1">
      <alignment horizontal="center" vertical="center" wrapText="1"/>
    </xf>
    <xf numFmtId="0" fontId="9" fillId="0" borderId="67" xfId="0" applyFont="1" applyBorder="1"/>
    <xf numFmtId="0" fontId="9" fillId="0" borderId="48" xfId="0" applyFont="1" applyBorder="1"/>
    <xf numFmtId="0" fontId="29" fillId="14" borderId="18" xfId="0" applyFont="1" applyFill="1" applyBorder="1" applyAlignment="1">
      <alignment horizontal="center" wrapText="1"/>
    </xf>
    <xf numFmtId="0" fontId="29" fillId="14" borderId="19" xfId="0" applyFont="1" applyFill="1" applyBorder="1" applyAlignment="1">
      <alignment horizontal="center" wrapText="1"/>
    </xf>
    <xf numFmtId="0" fontId="31" fillId="8" borderId="11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8" borderId="22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2" fillId="13" borderId="19" xfId="0" applyFont="1" applyFill="1" applyBorder="1" applyAlignment="1">
      <alignment horizontal="center" vertical="center" wrapText="1"/>
    </xf>
    <xf numFmtId="0" fontId="28" fillId="0" borderId="17" xfId="0" applyFont="1" applyBorder="1"/>
    <xf numFmtId="0" fontId="28" fillId="0" borderId="16" xfId="0" applyFont="1" applyBorder="1"/>
    <xf numFmtId="0" fontId="71" fillId="4" borderId="87" xfId="0" applyFont="1" applyFill="1" applyBorder="1" applyAlignment="1" applyProtection="1">
      <alignment horizontal="center" vertical="center"/>
      <protection locked="0"/>
    </xf>
    <xf numFmtId="0" fontId="71" fillId="4" borderId="88" xfId="0" applyFont="1" applyFill="1" applyBorder="1" applyAlignment="1" applyProtection="1">
      <alignment horizontal="center" vertical="center"/>
      <protection locked="0"/>
    </xf>
    <xf numFmtId="0" fontId="25" fillId="22" borderId="91" xfId="0" applyFont="1" applyFill="1" applyBorder="1" applyAlignment="1" applyProtection="1">
      <alignment horizontal="center" vertical="center"/>
      <protection locked="0"/>
    </xf>
    <xf numFmtId="0" fontId="25" fillId="22" borderId="92" xfId="0" applyFont="1" applyFill="1" applyBorder="1" applyAlignment="1" applyProtection="1">
      <alignment horizontal="center" vertical="center"/>
      <protection locked="0"/>
    </xf>
    <xf numFmtId="0" fontId="40" fillId="0" borderId="30" xfId="7" applyFont="1" applyBorder="1"/>
    <xf numFmtId="0" fontId="83" fillId="0" borderId="30" xfId="7" applyFont="1" applyBorder="1"/>
    <xf numFmtId="0" fontId="56" fillId="0" borderId="30" xfId="7" applyFont="1" applyBorder="1" applyAlignment="1">
      <alignment horizontal="center"/>
    </xf>
    <xf numFmtId="0" fontId="83" fillId="0" borderId="106" xfId="0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84" fillId="6" borderId="0" xfId="0" applyFont="1" applyFill="1" applyAlignment="1">
      <alignment wrapText="1"/>
    </xf>
  </cellXfs>
  <cellStyles count="8">
    <cellStyle name="Millares 2" xfId="3" xr:uid="{00000000-0005-0000-0000-000003000000}"/>
    <cellStyle name="Normal" xfId="0" builtinId="0"/>
    <cellStyle name="Normal 2" xfId="7" xr:uid="{87C4F831-F4C9-4BB2-B034-0040FAFE7F78}"/>
    <cellStyle name="Normal 4" xfId="5" xr:uid="{00000000-0005-0000-0000-000006000000}"/>
    <cellStyle name="Porcentaje" xfId="1" builtinId="5"/>
    <cellStyle name="Porcentaje 2" xfId="2" xr:uid="{00000000-0005-0000-0000-000008000000}"/>
    <cellStyle name="Porcentaje 2 2" xfId="6" xr:uid="{00000000-0005-0000-0000-000009000000}"/>
    <cellStyle name="Texto de advertencia 2" xfId="4" xr:uid="{00000000-0005-0000-0000-00000A000000}"/>
  </cellStyles>
  <dxfs count="45">
    <dxf>
      <font>
        <color theme="1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6" formatCode="d/mm/h:mm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textRotation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 defaultTableStyle="TableStyleMedium2" defaultPivotStyle="PivotStyleLight16">
    <tableStyle name="Estimación CP a diseñar-style" pivot="0" count="3" xr9:uid="{0F1B399F-C7A8-45B3-B92C-30A47ED47B17}"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142875</xdr:rowOff>
    </xdr:from>
    <xdr:to>
      <xdr:col>2</xdr:col>
      <xdr:colOff>510426</xdr:colOff>
      <xdr:row>4</xdr:row>
      <xdr:rowOff>44992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42875"/>
          <a:ext cx="1901076" cy="70221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Francisco Padilla Martinez" refreshedDate="45253.760716203702" createdVersion="8" refreshedVersion="8" minRefreshableVersion="3" recordCount="112" xr:uid="{3E81284D-B4F6-4B59-8308-63D24BA79106}">
  <cacheSource type="worksheet">
    <worksheetSource ref="B39:AA148" sheet="Set De Pruebas"/>
  </cacheSource>
  <cacheFields count="26">
    <cacheField name="Fecha Creación o Modificación del Caso" numFmtId="14">
      <sharedItems containsSemiMixedTypes="0" containsNonDate="0" containsDate="1" containsString="0" minDate="2023-11-10T00:00:00" maxDate="2024-02-01T00:00:00"/>
    </cacheField>
    <cacheField name="Caso Reutilizado" numFmtId="0">
      <sharedItems/>
    </cacheField>
    <cacheField name="Asignado" numFmtId="0">
      <sharedItems/>
    </cacheField>
    <cacheField name="Id CP" numFmtId="1">
      <sharedItems containsMixedTypes="1" containsNumber="1" containsInteger="1" minValue="0" maxValue="0"/>
    </cacheField>
    <cacheField name="Prioridad" numFmtId="1">
      <sharedItems containsMixedTypes="1" containsNumber="1" containsInteger="1" minValue="0" maxValue="0"/>
    </cacheField>
    <cacheField name="Clasificación" numFmtId="0">
      <sharedItems containsMixedTypes="1" containsNumber="1" containsInteger="1" minValue="0" maxValue="0"/>
    </cacheField>
    <cacheField name="Canal/Funcionalidad/HU" numFmtId="0">
      <sharedItems containsMixedTypes="1" containsNumber="1" containsInteger="1" minValue="0" maxValue="0" count="5">
        <s v="Portal Web Banca Empresas"/>
        <s v="Configuración débito automático"/>
        <s v="HU549Transferencias a terceros"/>
        <s v="HU548Transferencias propias"/>
        <n v="0"/>
      </sharedItems>
    </cacheField>
    <cacheField name="Nombre Caso de Prueba" numFmtId="0">
      <sharedItems containsMixedTypes="1" containsNumber="1" containsInteger="1" minValue="0" maxValue="0"/>
    </cacheField>
    <cacheField name="Descripción Caso Prueba" numFmtId="0">
      <sharedItems containsBlank="1" longText="1"/>
    </cacheField>
    <cacheField name="Precondiciones" numFmtId="0">
      <sharedItems containsBlank="1"/>
    </cacheField>
    <cacheField name="Paso a Paso" numFmtId="0">
      <sharedItems containsBlank="1" longText="1"/>
    </cacheField>
    <cacheField name="Resultado Esperado" numFmtId="0">
      <sharedItems/>
    </cacheField>
    <cacheField name="Estado C1" numFmtId="0">
      <sharedItems containsNonDate="0" containsBlank="1" count="8">
        <m/>
        <s v="EXITOSO" u="1"/>
        <s v="FALLIDO" u="1"/>
        <s v="BLOQUEADO" u="1"/>
        <s v="APAGADO" u="1"/>
        <s v="APAGADOS" u="1"/>
        <s v="DESESTIMADO" u="1"/>
        <s v="PENDIENTE" u="1"/>
      </sharedItems>
    </cacheField>
    <cacheField name="ID Bug" numFmtId="0">
      <sharedItems containsString="0" containsBlank="1" containsNumber="1" containsInteger="1" minValue="78426" maxValue="457852"/>
    </cacheField>
    <cacheField name="Comentario" numFmtId="0">
      <sharedItems containsBlank="1"/>
    </cacheField>
    <cacheField name="Fecha Ejecución" numFmtId="0">
      <sharedItems containsNonDate="0" containsDate="1" containsString="0" containsBlank="1" minDate="2023-11-10T00:00:00" maxDate="2023-11-13T00:00:00"/>
    </cacheField>
    <cacheField name="Estado R1" numFmtId="0">
      <sharedItems containsNonDate="0" containsString="0" containsBlank="1"/>
    </cacheField>
    <cacheField name="ID Bug2" numFmtId="3">
      <sharedItems containsNonDate="0" containsString="0" containsBlank="1"/>
    </cacheField>
    <cacheField name="Fecha Retest 1" numFmtId="0">
      <sharedItems containsNonDate="0" containsString="0" containsBlank="1"/>
    </cacheField>
    <cacheField name="Estado R2" numFmtId="0">
      <sharedItems containsNonDate="0" containsString="0" containsBlank="1"/>
    </cacheField>
    <cacheField name="ID Bug3" numFmtId="0">
      <sharedItems containsNonDate="0" containsString="0" containsBlank="1"/>
    </cacheField>
    <cacheField name="Fecha Retest 2" numFmtId="0">
      <sharedItems containsNonDate="0" containsString="0" containsBlank="1"/>
    </cacheField>
    <cacheField name="Estado R3" numFmtId="0">
      <sharedItems containsNonDate="0" containsString="0" containsBlank="1"/>
    </cacheField>
    <cacheField name="ID Bug4" numFmtId="0">
      <sharedItems containsNonDate="0" containsString="0" containsBlank="1"/>
    </cacheField>
    <cacheField name="Fecha Retest 3" numFmtId="0">
      <sharedItems containsNonDate="0" containsString="0" containsBlank="1"/>
    </cacheField>
    <cacheField name="Ruta y Nombre del Archiv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d v="2023-11-10T00:00:00"/>
    <s v="NO"/>
    <s v="Jaime Alberto Casas Barrera"/>
    <s v="CP001"/>
    <s v="Alto"/>
    <s v="FUNCIONALIDAD"/>
    <x v="0"/>
    <s v="Realizar pago a proveedores"/>
    <s v="Verificar que se permita realizar la oferta de la tarjeat de creditol."/>
    <s v="1 Que usuario este creado / potencial                                        2 Usuario viable para TC                     3  Verificar que las campañas esten creadas,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Se permite generar ofecta a cliente  ofreciendole una TC"/>
    <x v="0"/>
    <m/>
    <m/>
    <m/>
    <m/>
    <m/>
    <m/>
    <m/>
    <m/>
    <m/>
    <m/>
    <m/>
    <m/>
    <s v="Evidencia"/>
  </r>
  <r>
    <d v="2023-11-10T00:00:00"/>
    <s v="NO"/>
    <s v="Jaime Alberto Casas Barrera"/>
    <s v="CP002"/>
    <s v="Alto"/>
    <s v="FUNCIONALIDAD"/>
    <x v="1"/>
    <s v="Realizar la configuración de servicio público para DA"/>
    <s v="se revisa que el cliente no esté en listas restrictivas, pero en los días transcurridos de consulta, alistamiento y cargue puede que el cliente entre a listas restrictivas sin antes haber estado por lo que se debe volver a consultar. "/>
    <s v="Cargar Campañas"/>
    <s v="1. Ingresar al aplicativo con tipo de identificación CC._x000a_2 informacion del cliente,_x000a_"/>
    <s v="Que el cliente no esté en listas restrictivas,"/>
    <x v="0"/>
    <m/>
    <m/>
    <m/>
    <m/>
    <m/>
    <m/>
    <m/>
    <m/>
    <m/>
    <m/>
    <m/>
    <m/>
    <s v="Evidencia"/>
  </r>
  <r>
    <d v="2023-11-10T00:00:00"/>
    <s v="NO"/>
    <s v="Jaime Alberto Casas Barrera"/>
    <s v="CP003"/>
    <s v="Alto"/>
    <s v="AJUSTE"/>
    <x v="2"/>
    <s v="Revisar aplicación de créditos y débitos"/>
    <s v="Mostrar directamente / persona naturales"/>
    <s v="Usuario con caracteristica de Proveedor"/>
    <s v="1. Ingresar al aplicativo con tipo de identificación CC._x000a_2. Ingresar directamente a con  a personas naturales no mostrar vista 360_x000a_"/>
    <s v="Para el proveedor ingresar directamente Pestaña personas Naturales no mostrar vista 360"/>
    <x v="0"/>
    <n v="457852"/>
    <s v="No permite ingresar a la pestaña presenta error 587"/>
    <d v="2023-11-10T00:00:00"/>
    <m/>
    <m/>
    <m/>
    <m/>
    <m/>
    <m/>
    <m/>
    <m/>
    <m/>
    <s v="Evidencia"/>
  </r>
  <r>
    <d v="2023-11-10T00:00:00"/>
    <s v="NO"/>
    <s v="Jaime Alberto Casas Barrera"/>
    <s v="CP004"/>
    <s v="Alto"/>
    <s v="REGRESIÓN"/>
    <x v="3"/>
    <s v="Realizar consulta detallada de movimientos"/>
    <s v="El tercero grabará la llamada en sus sistemas y nos enviará la información para el almacenamiento de la tapa en el gestor documental"/>
    <s v="Grabacion de la llamada datos para cargar gestor documental_x000a_ "/>
    <s v="1. Ingresar al aplicativo con tipo de identificación CC._x000a__x000a_"/>
    <s v="Cargar exitosamente las grabaciones"/>
    <x v="0"/>
    <n v="78426"/>
    <s v="No genera las grabaciones en el formato indicado"/>
    <d v="2023-11-10T00:00:00"/>
    <m/>
    <m/>
    <m/>
    <m/>
    <m/>
    <m/>
    <m/>
    <m/>
    <m/>
    <s v="Evidencia"/>
  </r>
  <r>
    <d v="2023-11-10T00:00:00"/>
    <s v="NO"/>
    <s v="Jaime Alberto Casas Barrera"/>
    <s v="CP005"/>
    <s v="Alto"/>
    <s v="FUNCIONALIDAD"/>
    <x v="3"/>
    <s v="Revisar el estado de la consulta en la BD Master"/>
    <s v="Si el Cliente no está interesada debería registrarse en Siebel para que se cierre la campaña junto con una convención que permita agrupar la decisión del cliente "/>
    <s v="Consultar  retroalimentacion de la Campaña_x000a_ "/>
    <s v="1. Ingresar al aplicativo con tipo de identificación CC._x000a_2. Verficar las campáñas / consultarla_x000a_"/>
    <s v="Visualizar la retroalimentacion"/>
    <x v="0"/>
    <m/>
    <m/>
    <m/>
    <m/>
    <m/>
    <m/>
    <m/>
    <m/>
    <m/>
    <m/>
    <m/>
    <m/>
    <s v="Evidencia"/>
  </r>
  <r>
    <d v="2023-11-10T00:00:00"/>
    <s v="NO"/>
    <s v="Jaime Alberto Casas Barrera"/>
    <s v="CP006"/>
    <s v="Alto"/>
    <s v="AJUSTE"/>
    <x v="3"/>
    <s v="Realizar Ingresar al módulo de Pagos"/>
    <s v="Validacion de cliente call Center / Preguntas"/>
    <s v="Ejecutar Caja de retos Preguntas"/>
    <s v="1. Ingresar al aplicativo con tipo de identificación CC._x000a_2. Ingresar directamente a con  a personas naturales                                                                   3 Autorizacion"/>
    <s v="LISTADO DE PREGUNTAS"/>
    <x v="0"/>
    <m/>
    <m/>
    <m/>
    <m/>
    <m/>
    <m/>
    <m/>
    <m/>
    <m/>
    <m/>
    <m/>
    <m/>
    <s v="Evidencia"/>
  </r>
  <r>
    <d v="2023-11-10T00:00:00"/>
    <s v="NO"/>
    <s v="Jaime Alberto Casas Barrera"/>
    <s v="CP007"/>
    <s v="Alto"/>
    <s v="FUNCIONALIDAD"/>
    <x v="3"/>
    <s v="VerificaciónPagó servicio con código de Barras"/>
    <s v="Verificar que se permita realizar la transferencia cuando se cumple con la regla 7 de reto transaccional."/>
    <s v="Ejecutar Caja de retos Preguntas"/>
    <s v="1. Ingresar al aplicativo con tipo de identificación CC._x000a_2. Ingresar directamente a con  a personas naturales                                                                   3 Autorizacion_x000a_"/>
    <s v="LISTADO DE PREGUNTAS"/>
    <x v="0"/>
    <m/>
    <m/>
    <m/>
    <m/>
    <m/>
    <m/>
    <m/>
    <m/>
    <m/>
    <m/>
    <m/>
    <m/>
    <s v="Evidencia"/>
  </r>
  <r>
    <d v="2023-11-10T00:00:00"/>
    <s v="NO"/>
    <s v="Jaime Alberto Casas Barrera"/>
    <s v="CP008"/>
    <s v="Alto"/>
    <s v="FUNCIONALIDAD"/>
    <x v="3"/>
    <s v="VerificaciónXXXXXXX"/>
    <s v="Se solicitará foto o copia escaneada al cliente de documento de identificación, pedir por correo (buzón del tercero) y cargar"/>
    <s v="Listado de preguntas_x000a_ "/>
    <s v="1. Ingresar al aplicativo con tipo de identificación CC._x000a_2. Ingresar directamente a con  a personas naturales                                                                   3 Autorizacion_x000a__x000a_"/>
    <s v="Se permite realizar la transferencia , se valida que se cumpla o no la regla 7 por antigüedad de cuenta, se verifica que se poble la información correctamente en las tablas CV1013  y CV1014"/>
    <x v="0"/>
    <m/>
    <m/>
    <m/>
    <m/>
    <m/>
    <m/>
    <m/>
    <m/>
    <m/>
    <m/>
    <m/>
    <m/>
    <s v="Evidencia"/>
  </r>
  <r>
    <d v="2023-11-10T00:00:00"/>
    <s v="NO"/>
    <s v="Jaime Alberto Casas Barrera"/>
    <s v="CP009"/>
    <s v="Alto"/>
    <s v="FUNCIONALIDAD"/>
    <x v="3"/>
    <s v="VerificaciónXXXXXXX"/>
    <s v="NO ESTA DEFINIDO"/>
    <s v="Listado de preguntas/ a comparar_x000a_ "/>
    <s v="1. Ingresar al aplicativo con tipo de identificación CC._x000a_2. Ingresar directamente a con  a personas naturales                                                                   3 Autorizacion_x000a_"/>
    <s v="NO ESTA DEFINIDO"/>
    <x v="0"/>
    <m/>
    <m/>
    <m/>
    <m/>
    <m/>
    <m/>
    <m/>
    <m/>
    <m/>
    <m/>
    <m/>
    <m/>
    <s v="Evidencia"/>
  </r>
  <r>
    <d v="2023-11-10T00:00:00"/>
    <s v="NO"/>
    <s v="Jaime Alberto Casas Barrera"/>
    <s v="CP010"/>
    <s v="Alto"/>
    <s v="FUNCIONALIDAD"/>
    <x v="3"/>
    <s v="VerificaciónXXXXXXX"/>
    <s v="NO ESTA DEFINIDO /Quien lo hace el Call center "/>
    <s v="Datos desactualizados / Correjir _x000a_ "/>
    <s v="1. Ingresar al aplicativo con tipo de identificación CC._x000a_2. Ingresar directamente a con  a personas naturales     _x000a_3. Datos del contacto _x000a_"/>
    <s v="Datos actualizado exitosamente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1"/>
    <s v="Alto"/>
    <s v="FUNCIONALIDAD"/>
    <x v="3"/>
    <s v="VerificaciónXXXXXXX"/>
    <s v="Verificar que se permita realizar la oferta de la tarjeat de creditol"/>
    <s v="1 Que usuario este creado / potencial                                        2 Usuario viable para TC                     3  Verificar que las campañas esten creadas,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Se permite realizar la transferencia , se valida que se cumpla o no la regla 7 por antigüedad de cuenta, se verifica que se poble la información correctamente en las tablas CV1013  y CV1014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2"/>
    <s v="Alto"/>
    <s v="FUNCIONALIDAD"/>
    <x v="3"/>
    <s v="VerificaciónXXXXXXX"/>
    <s v="Verificar que se permita realizar DESEMBOLSO DE LA tc"/>
    <s v="Que la solcitud este en Analis verificacion de datos _x000a_ _x000a_ "/>
    <s v="_x000a_"/>
    <s v="Desembolso EXITOSO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3"/>
    <s v="Alto"/>
    <s v="FUNCIONALIDAD"/>
    <x v="3"/>
    <s v="VerificaciónXXXXXXX"/>
    <s v="Verificar que se permita realizar la validacion de identidad"/>
    <s v="Que la solictud este vigente/ Validacion de Identidad_x000a_ "/>
    <s v="1. Ingresar al aplicativo con tipo de identificación CC._x000a_2. Ingresar al módulo Mis Pagos_x000a_3, Escoger producto a pagar_x000a_4. Escoger cuenta disponible_x000a_"/>
    <s v="Radicar y cerrar solictuD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4"/>
    <s v="Alto"/>
    <s v="FUNCIONALIDAD"/>
    <x v="3"/>
    <s v="VerificaciónXXXXXXX"/>
    <s v="Verificar que se permita realizar la validacion de identidad"/>
    <s v="Que la solictud este vigente/ Validacion de Identidad_x000a_ "/>
    <s v="Continuar con la solucitud / Genrar pagared por medio del codigo OTP _x000a_"/>
    <s v="Se permite realizar la transferencia , se valida que se cumpla o no la regla 7 por antigüedad de cuenta, se verifica que se poble la información correctamente en las tablas CV1013  y CV1014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5"/>
    <s v="Alto"/>
    <s v="FUNCIONALIDAD"/>
    <x v="3"/>
    <s v="VerificaciónXXXXXXX"/>
    <s v="Se genera codigo OTP al darle clic  Firma de pagare con OTP de Banco / Se Ejecuta consulta en BD  S4UI+   select *_x000a_from ADMMASTER.fss032notif_tank_x000a_where ccs032mnemonico = 'CC1026586831'--------colocar el número de identificación del cliente_x000a_---and ccs032address like 'j2g2g9i3@bancocajasocial.com%'_x000a_order by ccs032notif_date desc;"/>
    <s v="Estar en la etapa de radicacion _x000a_ "/>
    <s v="1. Ingresar la solictud_x000a_2. clic en la pestaña Radicar y cerrar solicitud _x000a_3. Clic firma de pagare OTP _x000a_"/>
    <s v="Pagare ya esta firmado correctamente - SE GENERA CODIGO OTP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6"/>
    <s v="Alto"/>
    <s v="FUNCIONALIDAD"/>
    <x v="3"/>
    <s v="VerificaciónXXXXXXX"/>
    <s v="Verificacion de Data Cargada / SELECT * FROM SIEBEL.EIM_CON_DTL;_x000a_SELECT * FROM SIEBEL.EIM_CONTACT;_x000a_SELECT * FROM SIEBEL.EIM_FN_CONTACT4;_x000a__x000a_"/>
    <s v="Que no esten cargado los archivo_x000a_ "/>
    <s v="1. Ingresar al aplicativo con tipo de identificación CC._x000a_2. Ingresar al módulo Mis Pagos_x000a_3. Seleccionar opcion  pago de servicios_x000a_"/>
    <s v="Caqrgue Archivo exitosamente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7"/>
    <s v="Alto"/>
    <s v="FUNCIONALIDAD"/>
    <x v="3"/>
    <s v="VerificaciónXXXXXXX"/>
    <s v="Vistas de usuario Asesor"/>
    <s v="Autenticacion de usuario Asesor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Vistas requerida de usuario Asesor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8"/>
    <s v="Medio"/>
    <s v="FUNCIONALIDAD"/>
    <x v="3"/>
    <s v="VerificaciónXXXXXXX"/>
    <s v="Vistas de usuario Proveedor"/>
    <s v="Autenticacion de usuario Proveedor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Vistas requerida de usuario Proveedor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9"/>
    <s v="Medio"/>
    <s v="FUNCIONALIDAD"/>
    <x v="3"/>
    <s v="VerificaciónXXXXXXX"/>
    <s v="Seleccionar documentos "/>
    <s v="Solicitar Cargar Documentos_x000a_ "/>
    <s v="1. Radicacion                                                    2. Generar Documento                                  3 Cargar documentos requeridos,"/>
    <s v="Cargue Documento exitosamente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0"/>
    <s v="Medio"/>
    <s v="FUNCIONALIDAD"/>
    <x v="3"/>
    <s v="VerificaciónXXXXXXX"/>
    <s v="Verificar que documentos Se carga de acuerdo el segmento"/>
    <s v="Solicitar Cargar Documentos segmentado_x000a_ "/>
    <s v="1. Ingresar al aplicativo con tipo de identificación CC._x000a_2.Cargue documentos_x000a__x000a_"/>
    <s v="Cargue Documento exitosamente de acuerdo la segmentacion 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1"/>
    <s v="Medio"/>
    <s v="FUNCIONALIDAD"/>
    <x v="3"/>
    <s v="VerificaciónXXXXXXX"/>
    <s v="Verificar que se permita realizar la transferencia cuando se cumple con la regla 7 de reto transaccional."/>
    <s v="1 Que usuario este creado / potencial                                        2 Usuario viable para TC                     3  Verificar que las campañas esten creadas,"/>
    <s v="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"/>
    <s v="Cliente no viable no se le puede GO /TC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2"/>
    <s v="Medio"/>
    <s v="FUNCIONALIDAD"/>
    <x v="3"/>
    <s v="VerificaciónXXXXXXX"/>
    <s v="Pasos 1:Realizar busqueda por el numero de solicitud ejemplo 1-243163201_x000a_paso 2 :Click a la solicitud para hacer la refrenciacion telefonica._x000a_paso 3: Se da click a todo lo que  diga gestionar y hacer el proceso uno a uno ¨_x000a_paso 4: Realizar llamada dandole clic al boton verde _x000a_paso 5: diligenciar preguntas de referenciacion telefonica en este caso darle todo SI CLIC EN EVALUAR_x000a_paso 6: clic en corgar la llamada  escoger respuesta exitosa clic acpetar_x000a_paso 7: aparece una pantalla se responde favorable , en accion a seguir -&gt; Selecionar GUARDAR _x000a_paso 8: Como salieron dos gestionar se repiteel proceso del paso 4 al 7 , algunas veces no sale el boton de evaluar, cuando tengamos un gestionar_x000a_ o terminemos todos los gestionar en vez de guardar le damos continuar porque ya terminamos todos los gestionar._x000a_paso 9: clic en continuar , clic aprobar "/>
    <s v="Que la solictud este radicacion"/>
    <s v="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"/>
    <s v="Etapa final Referenciacion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3"/>
    <s v="Medio"/>
    <s v="FUNCIONALIDAD"/>
    <x v="3"/>
    <s v="VerificaciónXXXXXXX"/>
    <s v="Analisis"/>
    <s v="Que la solictud este radicacion"/>
    <s v="Pasos 1 : Despues de buscar en el enterprise el usuario que corresponde para realizar el analis en el workspace ingresamos con el._x000a_Pasos 2: ingresamos la solictud clic ._x000a_paso 3 :se diligencia donde dice Observaciones Analisis solicitante clic en el boton analizado_x000a_Pasos 4:clic en boton Balancear consumo._x000a_Pasos 5:clic en  en OK en la ventana de information._x000a_Pasos 6 selecionar Excepcion Manual NO_x000a_Pasos 7: Selecionar Aprobar oferta_x000a_Pasos 8: Acpetar_x000a_Pasos 9: iNFORMATION clic en OK_x000a__x000a_REVISAR EN ORACLE (ENTERPRISE MANAGER)_x000a_1. con que usuario vamos a realziar el proceso de referenciacion en en WORKSPACE_x000a_2. se realiza consulta de la solcitud 1-243163201 en el ENTERPRISE _x000a_"/>
    <s v="Etapa Final Analisis"/>
    <x v="0"/>
    <m/>
    <m/>
    <m/>
    <m/>
    <m/>
    <m/>
    <m/>
    <m/>
    <m/>
    <m/>
    <m/>
    <m/>
    <s v="Evidencia"/>
  </r>
  <r>
    <d v="2023-11-10T00:00:00"/>
    <s v="NO"/>
    <s v="Jaime Alberto Casas Barrera"/>
    <s v="CP024"/>
    <s v="Medio"/>
    <s v="FUNCIONALIDAD"/>
    <x v="3"/>
    <s v="VerificaciónXXXXXXX"/>
    <s v="Verificar que se permita realizar la oferta de la tarjeat de creditol."/>
    <s v="1 Que usuario este creado / potencial                                        2 Usuario viable para TC                     3  Verificar que las campañas esten creadas,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Se permite generar ofecta a cliente  ofreciendole una TC"/>
    <x v="0"/>
    <m/>
    <m/>
    <m/>
    <m/>
    <m/>
    <m/>
    <m/>
    <m/>
    <m/>
    <m/>
    <m/>
    <m/>
    <s v="Evidencia"/>
  </r>
  <r>
    <d v="2023-11-10T00:00:00"/>
    <s v="NO"/>
    <s v="Jaime Alberto Casas Barrera"/>
    <s v="CP025"/>
    <s v="Medio"/>
    <s v="FUNCIONALIDAD"/>
    <x v="3"/>
    <s v="VerificaciónXXXXXXX"/>
    <s v="Analisis"/>
    <s v="Que la solictud este radicacion"/>
    <s v="Pasos 1 : Despues de buscar en el enterprise el usuario que corresponde para realizar el analis en el workspace ingresamos con el._x000a_Pasos 2: ingresamos la solictud clic ._x000a_paso 3 :se diligencia donde dice Observaciones Analisis solicitante clic en el boton analizado_x000a_Pasos 4:clic en boton Balancear consumo._x000a_Pasos 5:clic en  en OK en la ventana de information._x000a_Pasos 6 selecionar Excepcion Manual NO_x000a_Pasos 7: Selecionar Aprobar oferta_x000a_Pasos 8: Acpetar_x000a_Pasos 9: iNFORMATION clic en OK_x000a__x000a_REVISAR EN ORACLE (ENTERPRISE MANAGER)_x000a_1. con que usuario vamos a realziar el proceso de referenciacion en en WORKSPACE_x000a_2. se realiza consulta de la solcitud 1-243163201 en el ENTERPRISE _x000a_"/>
    <s v="Etapa Final Analisis"/>
    <x v="0"/>
    <m/>
    <m/>
    <m/>
    <m/>
    <m/>
    <m/>
    <m/>
    <m/>
    <m/>
    <m/>
    <m/>
    <m/>
    <s v="Evidencia"/>
  </r>
  <r>
    <d v="2023-11-10T00:00:00"/>
    <s v="NO"/>
    <s v="Jaime Alberto Casas Barrera"/>
    <s v="CP026"/>
    <s v="Medio"/>
    <s v="FUNCIONALIDAD"/>
    <x v="3"/>
    <s v="VerificaciónXXXXXXX"/>
    <s v="Verificar que se permita realizar DESEMBOLSO DE LA tc"/>
    <s v="Que la solcitud este en Analis verificacion de datos _x000a_ _x000a_ "/>
    <s v="_x000a_"/>
    <s v="Desembolso EXITOSO"/>
    <x v="0"/>
    <m/>
    <m/>
    <m/>
    <m/>
    <m/>
    <m/>
    <m/>
    <m/>
    <m/>
    <m/>
    <m/>
    <m/>
    <s v="Evidencia"/>
  </r>
  <r>
    <d v="2023-11-10T00:00:00"/>
    <s v="NO"/>
    <s v="Jaime Alberto Casas Barrera"/>
    <s v="CP027"/>
    <s v="Alto"/>
    <s v="FUNCIONALIDAD"/>
    <x v="3"/>
    <s v="VerificaciónXXXXXXX"/>
    <s v="Verificar que se permita realizar la transferencia cuando se cumple con la regla 7 de reto transaccional."/>
    <s v="Estar enrolado en internet banca personas_x000a_Existir en starclientes_x000a_Contar con cuenta activa_x000a_Tener saldo &gt; 0_x000a_ "/>
    <s v="1. clic Persona Natural-&gt; Selecionar tipo de identificación CC.  and Numero de identificacion._x000a_2. Ingresar pestaña Autorizacion. _x000a_3. Ingresar Datos de identificacion._x000a_4 Clic  Datos de contacto.                        "/>
    <s v="Validacion de Identidad EXITOSO"/>
    <x v="0"/>
    <m/>
    <m/>
    <m/>
    <m/>
    <m/>
    <m/>
    <m/>
    <m/>
    <m/>
    <m/>
    <m/>
    <m/>
    <s v="Evidencia"/>
  </r>
  <r>
    <d v="2023-11-10T00:00:00"/>
    <s v="NO"/>
    <s v="Jaime Alberto Casas Barrera"/>
    <s v="CP028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0T00:00:00"/>
    <s v="NO"/>
    <s v="Jaime Alberto Casas Barrera"/>
    <s v="CP029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0T00:00:00"/>
    <s v="NO"/>
    <s v="Jaime Alberto Casas Barrera"/>
    <s v="CP030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1T00:00:00"/>
    <s v="NO"/>
    <s v="Jaime Alberto Casas Barrera"/>
    <s v="CP031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2T00:00:00"/>
    <s v="NO"/>
    <s v="Jaime Alberto Casas Barrera"/>
    <s v="CP032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3T00:00:00"/>
    <s v="NO"/>
    <s v="Jaime Alberto Casas Barrera"/>
    <s v="CP033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4T00:00:00"/>
    <s v="NO"/>
    <s v="Jaime Alberto Casas Barrera"/>
    <s v="CP034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5T00:00:00"/>
    <s v="NO"/>
    <s v="Jaime Alberto Casas Barrera"/>
    <s v="CP035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6T00:00:00"/>
    <s v="NO"/>
    <s v="Jaime Alberto Casas Barrera"/>
    <s v="CP036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7T00:00:00"/>
    <s v="NO"/>
    <s v="Jaime Alberto Casas Barrera"/>
    <s v="CP037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8T00:00:00"/>
    <s v="NO"/>
    <s v="Jaime Alberto Casas Barrera"/>
    <s v="CP038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9T00:00:00"/>
    <s v="NO"/>
    <s v="Jaime Alberto Casas Barrera"/>
    <s v="CP039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0T00:00:00"/>
    <s v="NO"/>
    <s v="Jaime Alberto Casas Barrera"/>
    <s v="CP040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1T00:00:00"/>
    <s v="NO"/>
    <s v="Jaime Alberto Casas Barrera"/>
    <s v="CP041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2T00:00:00"/>
    <s v="NO"/>
    <s v="Jaime Alberto Casas Barrera"/>
    <s v="CP042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3T00:00:00"/>
    <s v="NO"/>
    <s v="Jaime Alberto Casas Barrera"/>
    <s v="CP043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4T00:00:00"/>
    <s v="NO"/>
    <s v="Jaime Alberto Casas Barrera"/>
    <s v="CP044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5T00:00:00"/>
    <s v="NO"/>
    <s v="Jaime Alberto Casas Barrera"/>
    <s v="CP045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6T00:00:00"/>
    <s v="NO"/>
    <s v="Jaime Alberto Casas Barrera"/>
    <s v="CP046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7T00:00:00"/>
    <s v="NO"/>
    <s v="Jaime Alberto Casas Barrera"/>
    <s v="CP047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8T00:00:00"/>
    <s v="NO"/>
    <s v="Jaime Alberto Casas Barrera"/>
    <s v="CP048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9T00:00:00"/>
    <s v="NO"/>
    <s v="Jaime Alberto Casas Barrera"/>
    <s v="CP049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30T00:00:00"/>
    <s v="NO"/>
    <s v="Jaime Alberto Casas Barrera"/>
    <s v="CP050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2-0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3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3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3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3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5431B-F78B-4268-91EB-B9ACF65272DF}" name="TablaDinámica6" cacheId="0" applyNumberFormats="0" applyBorderFormats="0" applyFontFormats="0" applyPatternFormats="0" applyAlignmentFormats="0" applyWidthHeightFormats="1" dataCaption="Valores" grandTotalCaption="TOTAL CP" updatedVersion="8" minRefreshableVersion="3" useAutoFormatting="1" rowGrandTotals="0" itemPrintTitles="1" createdVersion="8" indent="0" outline="1" outlineData="1" multipleFieldFilters="0" rowHeaderCaption="Canal/Funcionalidad/HU">
  <location ref="W4:Y10" firstHeaderRow="1" firstDataRow="2" firstDataCol="1"/>
  <pivotFields count="26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9">
        <item n="CP BLOQUEADOS" m="1" x="3"/>
        <item m="1" x="6"/>
        <item n="CP EXITOSOS" m="1" x="1"/>
        <item n="CP FALLIDOS" m="1" x="2"/>
        <item m="1" x="7"/>
        <item n="CP POR EJECUTAR" x="0"/>
        <item m="1" x="5"/>
        <item n="CP APAGADOS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Fields count="1">
    <field x="12"/>
  </colFields>
  <colItems count="2">
    <i>
      <x v="5"/>
    </i>
    <i t="grand">
      <x/>
    </i>
  </colItems>
  <dataFields count="1">
    <dataField name="Cuenta de Canal/Funcionalidad/HU" fld="6" subtotal="count" baseField="0" baseItem="0"/>
  </dataFields>
  <formats count="13">
    <format dxfId="18">
      <pivotArea dataOnly="0" labelOnly="1" fieldPosition="0">
        <references count="1">
          <reference field="12" count="0"/>
        </references>
      </pivotArea>
    </format>
    <format dxfId="17">
      <pivotArea dataOnly="0" labelOnly="1" grandCol="1" outline="0" fieldPosition="0"/>
    </format>
    <format dxfId="16">
      <pivotArea dataOnly="0" labelOnly="1" fieldPosition="0">
        <references count="1">
          <reference field="12" count="0"/>
        </references>
      </pivotArea>
    </format>
    <format dxfId="15">
      <pivotArea dataOnly="0" labelOnly="1" grandCol="1" outline="0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2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fieldPosition="0">
        <references count="1">
          <reference field="12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248CF-9BD3-4405-980C-C4571C31F906}" name="CPADISEÑAR" displayName="CPADISEÑAR" ref="B7:G982" headerRowDxfId="41" totalsRowDxfId="38" headerRowBorderDxfId="40" tableBorderDxfId="39">
  <autoFilter ref="B7:G982" xr:uid="{85E248CF-9BD3-4405-980C-C4571C31F906}"/>
  <tableColumns count="6">
    <tableColumn id="1" xr3:uid="{00000000-0010-0000-0000-000001000000}" name="Id CP" dataDxfId="37"/>
    <tableColumn id="2" xr3:uid="{00000000-0010-0000-0000-000002000000}" name="Clasificación " dataDxfId="36"/>
    <tableColumn id="3" xr3:uid="{00000000-0010-0000-0000-000003000000}" name="Canal/Funcionalidad/HU" dataDxfId="35"/>
    <tableColumn id="4" xr3:uid="{00000000-0010-0000-0000-000004000000}" name="Nombre del caso de prueba" dataDxfId="34"/>
    <tableColumn id="5" xr3:uid="{00000000-0010-0000-0000-000005000000}" name="Complejidad Diseño" dataDxfId="33"/>
    <tableColumn id="6" xr3:uid="{00000000-0010-0000-0000-000006000000}" name="Complejidad Ejecución" dataDxfId="32"/>
  </tableColumns>
  <tableStyleInfo name="Estimación CP a diseña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293D6C-E153-47D3-B751-F56824600D96}" name="Table_15" displayName="Table_15" ref="B7:G43" headerRowDxfId="31">
  <tableColumns count="6">
    <tableColumn id="1" xr3:uid="{30DA3F12-EB5E-44A4-AD2D-6B1D5F4E15FE}" name="Id CP"/>
    <tableColumn id="2" xr3:uid="{F66983E4-670C-4DA2-AA1E-BDAEBD7EF451}" name="Clasificación "/>
    <tableColumn id="3" xr3:uid="{CCD77A11-9BC5-4F3C-B5D6-55158320AE68}" name="Canal/Funcionalidad/HU"/>
    <tableColumn id="4" xr3:uid="{4F1D5158-1292-4402-9D28-3A2F63443419}" name="Nombre del caso de prueba"/>
    <tableColumn id="5" xr3:uid="{17BE30FC-E3FA-4B0C-AD45-F9F49CB53715}" name="Complejidad Diseño"/>
    <tableColumn id="6" xr3:uid="{3A342D7D-2765-4FA9-A6C3-8FF71B5D1833}" name="Complejidad Ejecución"/>
  </tableColumns>
  <tableStyleInfo name="Estimación CP a diseña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0C5DB7-7B1D-4539-8244-173ADC5A7CC6}" name="Table_156" displayName="Table_156" ref="B7:G43" headerRowDxfId="30">
  <tableColumns count="6">
    <tableColumn id="1" xr3:uid="{37DC75DE-6E23-4F92-9B11-9C203047BD19}" name="Id CP"/>
    <tableColumn id="2" xr3:uid="{7AB15CF0-C3A3-48D4-8644-43BE81761D2E}" name="Clasificación "/>
    <tableColumn id="3" xr3:uid="{28411372-011C-46F1-9220-B63A01C45CC0}" name="Canal/Funcionalidad/HU"/>
    <tableColumn id="4" xr3:uid="{EEA6AE81-622D-41F2-923F-276A561CFFB5}" name="Nombre del caso de prueba"/>
    <tableColumn id="5" xr3:uid="{70B0103A-593B-4535-BF99-79B2E918177C}" name="Complejidad Diseño"/>
    <tableColumn id="6" xr3:uid="{56D71BB4-2F4E-4BF7-81D6-F9703D1F7468}" name="Complejidad Ejecución"/>
  </tableColumns>
  <tableStyleInfo name="Estimación CP a diseña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5076EE-44BF-415D-819A-2AA5B0925696}" name="Table_1567" displayName="Table_1567" ref="B7:G43" headerRowDxfId="29">
  <tableColumns count="6">
    <tableColumn id="1" xr3:uid="{D2C0CACB-6E86-4D97-8DEE-D1DF0B9BB1E8}" name="Id CP"/>
    <tableColumn id="2" xr3:uid="{D7C11086-FD6E-4102-AFD1-C40CB78729B8}" name="Clasificación "/>
    <tableColumn id="3" xr3:uid="{B96CBA9A-759D-40E3-83EB-05F22F67E5BC}" name="Canal/Funcionalidad/HU"/>
    <tableColumn id="4" xr3:uid="{EFAFC593-98D9-4B67-955B-CCB56DD53B95}" name="Nombre del caso de prueba"/>
    <tableColumn id="5" xr3:uid="{19CA80AE-1DD4-4969-B209-D6C9181E753C}" name="Complejidad Diseño"/>
    <tableColumn id="6" xr3:uid="{D3270761-EFD7-4EE7-9EA3-60CE97CACF30}" name="Complejidad Ejecución"/>
  </tableColumns>
  <tableStyleInfo name="Estimación CP a diseña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069DDC-AEA6-462B-B23C-DAD290F50614}" name="Table_15678" displayName="Table_15678" ref="B7:G43" headerRowDxfId="28">
  <tableColumns count="6">
    <tableColumn id="1" xr3:uid="{7E33F691-7A93-478D-9A09-F2A54F8002A7}" name="Id CP"/>
    <tableColumn id="2" xr3:uid="{8856AA44-A57E-4637-8E1C-63FDC948010C}" name="Clasificación "/>
    <tableColumn id="3" xr3:uid="{6886B6FE-7B5F-4EFA-9452-958B76C9B71B}" name="Canal/Funcionalidad/HU"/>
    <tableColumn id="4" xr3:uid="{455090DC-647A-4186-BE7E-B00D6E975522}" name="Nombre del caso de prueba"/>
    <tableColumn id="5" xr3:uid="{109F9B22-323B-4A09-AE2C-537A0FE7305E}" name="Complejidad Diseño"/>
    <tableColumn id="6" xr3:uid="{E9923C08-B630-4ACE-AFDF-79FB940A9547}" name="Complejidad Ejecución"/>
  </tableColumns>
  <tableStyleInfo name="Estimación CP a diseñar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CTAS" displayName="GACTAS" ref="B7:J14" totalsRowShown="0" headerRowDxfId="27">
  <autoFilter ref="B7:J14" xr:uid="{00000000-0009-0000-0100-000002000000}"/>
  <tableColumns count="9">
    <tableColumn id="1" xr3:uid="{00000000-0010-0000-0100-000001000000}" name="Fecha de Instalación" dataDxfId="26"/>
    <tableColumn id="2" xr3:uid="{00000000-0010-0000-0100-000002000000}" name="Iniciativa" dataDxfId="25"/>
    <tableColumn id="3" xr3:uid="{00000000-0010-0000-0100-000003000000}" name="Paquete de SW" dataDxfId="24"/>
    <tableColumn id="4" xr3:uid="{00000000-0010-0000-0100-000004000000}" name="Versión" dataDxfId="23"/>
    <tableColumn id="5" xr3:uid="{00000000-0010-0000-0100-000005000000}" name="Componente" dataDxfId="22"/>
    <tableColumn id="6" xr3:uid="{00000000-0010-0000-0100-000006000000}" name="Desarrollador" dataDxfId="21"/>
    <tableColumn id="7" xr3:uid="{00000000-0010-0000-0100-000007000000}" name="Tipo" dataDxfId="20"/>
    <tableColumn id="8" xr3:uid="{00000000-0010-0000-0100-000008000000}" name="Estado" dataDxfId="19"/>
    <tableColumn id="9" xr3:uid="{00000000-0010-0000-0100-000009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3-05-20T00:52:02.20" personId="{00000000-0000-0000-0000-000000000000}" id="{D0ED5D7A-A8D4-4B15-8B11-E83354455C95}">
    <text>No se ejecuta todo el plan o se instala en producción con defectos abiertos con el aval de Usuario</text>
  </threadedComment>
  <threadedComment ref="D6" dT="2023-05-20T00:52:34.18" personId="{00000000-0000-0000-0000-000000000000}" id="{0278E1F6-0354-4BF3-9FFB-ADF70F4FAED0}">
    <text>Plan de pruebas ejecutado al 100% sin defectos abiertos</text>
  </threadedComment>
  <threadedComment ref="C20" dT="2023-05-20T00:22:02.79" personId="{00000000-0000-0000-0000-000000000000}" id="{3A5BE23D-D4D2-41EA-BD60-E9ACA1A5AA5B}">
    <text>Ingresar en este campo el tiempo Real en horas que le llevo ejecutar el plan de pruebas</text>
  </threadedComment>
  <threadedComment ref="C25" dT="2023-05-20T00:48:49.47" personId="{00000000-0000-0000-0000-000000000000}" id="{B67EB4A7-BF0F-47EB-9067-3B22BB1DBA5F}">
    <text>Si es &lt;=0: Cumplimiento del Time To Market (estimación planeada)
Si es &gt;0: No cumple el Time To Market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37DBC9-7685-4C52-8EE1-F437719EDEDC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3e56879b-69bf-496e-a643-a52d6426431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32AD-6083-4ECA-8B62-89BDE5001711}">
  <dimension ref="A1:F33"/>
  <sheetViews>
    <sheetView topLeftCell="A15" workbookViewId="0">
      <selection activeCell="C22" sqref="C22"/>
    </sheetView>
  </sheetViews>
  <sheetFormatPr baseColWidth="10" defaultColWidth="11" defaultRowHeight="15.75" x14ac:dyDescent="0.25"/>
  <cols>
    <col min="1" max="1" width="28.125" bestFit="1" customWidth="1"/>
    <col min="2" max="2" width="28" bestFit="1" customWidth="1"/>
    <col min="3" max="3" width="31.5" bestFit="1" customWidth="1"/>
    <col min="4" max="4" width="25.875" bestFit="1" customWidth="1"/>
    <col min="5" max="5" width="26.5" bestFit="1" customWidth="1"/>
    <col min="6" max="6" width="22.875" bestFit="1" customWidth="1"/>
  </cols>
  <sheetData>
    <row r="1" spans="1:6" ht="18.75" x14ac:dyDescent="0.25">
      <c r="A1" s="399" t="s">
        <v>0</v>
      </c>
      <c r="B1" s="399"/>
      <c r="C1" s="399"/>
      <c r="D1" s="399"/>
      <c r="E1" s="399"/>
      <c r="F1" s="399"/>
    </row>
    <row r="2" spans="1:6" ht="18.75" x14ac:dyDescent="0.25">
      <c r="A2" s="58" t="s">
        <v>1</v>
      </c>
      <c r="B2" s="49" t="s">
        <v>2</v>
      </c>
      <c r="C2" s="220"/>
      <c r="D2" s="220"/>
      <c r="E2" s="220"/>
      <c r="F2" s="220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400" t="s">
        <v>3</v>
      </c>
      <c r="B4" s="223" t="s">
        <v>4</v>
      </c>
      <c r="C4" s="188">
        <v>1</v>
      </c>
      <c r="D4" s="401" t="s">
        <v>5</v>
      </c>
      <c r="E4" s="224" t="s">
        <v>6</v>
      </c>
      <c r="F4" s="187"/>
    </row>
    <row r="5" spans="1:6" x14ac:dyDescent="0.25">
      <c r="A5" s="400"/>
      <c r="B5" s="223" t="s">
        <v>7</v>
      </c>
      <c r="C5" s="188" t="s">
        <v>8</v>
      </c>
      <c r="D5" s="401"/>
      <c r="E5" s="223" t="s">
        <v>9</v>
      </c>
      <c r="F5" s="86"/>
    </row>
    <row r="6" spans="1:6" x14ac:dyDescent="0.25">
      <c r="A6" s="400"/>
      <c r="B6" s="223" t="s">
        <v>10</v>
      </c>
      <c r="C6" s="86" t="s">
        <v>11</v>
      </c>
      <c r="D6" s="401"/>
      <c r="E6" s="223" t="s">
        <v>12</v>
      </c>
      <c r="F6" s="86"/>
    </row>
    <row r="7" spans="1:6" x14ac:dyDescent="0.25">
      <c r="A7" s="400"/>
      <c r="B7" s="223" t="s">
        <v>13</v>
      </c>
      <c r="C7" s="183"/>
      <c r="D7" s="401"/>
      <c r="E7" s="223" t="s">
        <v>14</v>
      </c>
      <c r="F7" s="86"/>
    </row>
    <row r="8" spans="1:6" x14ac:dyDescent="0.25">
      <c r="A8" s="400"/>
      <c r="B8" s="223" t="s">
        <v>15</v>
      </c>
      <c r="C8" s="183" t="s">
        <v>16</v>
      </c>
      <c r="D8" s="401"/>
      <c r="E8" s="223" t="s">
        <v>17</v>
      </c>
      <c r="F8" s="86"/>
    </row>
    <row r="9" spans="1:6" x14ac:dyDescent="0.25">
      <c r="A9" s="400"/>
      <c r="B9" s="223" t="s">
        <v>18</v>
      </c>
      <c r="C9" s="183" t="s">
        <v>19</v>
      </c>
      <c r="D9" s="401"/>
      <c r="E9" s="223" t="s">
        <v>20</v>
      </c>
      <c r="F9" s="164"/>
    </row>
    <row r="10" spans="1:6" x14ac:dyDescent="0.25">
      <c r="A10" s="400"/>
      <c r="B10" s="223" t="s">
        <v>21</v>
      </c>
      <c r="C10" s="183" t="s">
        <v>22</v>
      </c>
      <c r="D10" s="401"/>
      <c r="E10" s="223" t="s">
        <v>23</v>
      </c>
      <c r="F10" s="164"/>
    </row>
    <row r="11" spans="1:6" x14ac:dyDescent="0.25">
      <c r="A11" s="400"/>
      <c r="B11" s="223" t="s">
        <v>24</v>
      </c>
      <c r="C11" s="86" t="s">
        <v>25</v>
      </c>
      <c r="D11" s="401"/>
      <c r="E11" s="223" t="s">
        <v>26</v>
      </c>
      <c r="F11" s="164"/>
    </row>
    <row r="12" spans="1:6" x14ac:dyDescent="0.25">
      <c r="A12" s="400"/>
      <c r="B12" s="223" t="s">
        <v>27</v>
      </c>
      <c r="C12" s="269" t="s">
        <v>28</v>
      </c>
      <c r="D12" s="401"/>
      <c r="E12" s="248" t="s">
        <v>29</v>
      </c>
      <c r="F12" s="249"/>
    </row>
    <row r="13" spans="1:6" ht="31.5" customHeight="1" x14ac:dyDescent="0.25">
      <c r="A13" s="400"/>
      <c r="B13" s="223" t="s">
        <v>30</v>
      </c>
      <c r="C13" s="246" t="s">
        <v>31</v>
      </c>
      <c r="D13" s="402"/>
      <c r="E13" s="395" t="s">
        <v>32</v>
      </c>
      <c r="F13" s="397"/>
    </row>
    <row r="14" spans="1:6" x14ac:dyDescent="0.25">
      <c r="A14" s="400"/>
      <c r="B14" s="245" t="s">
        <v>33</v>
      </c>
      <c r="C14" s="247" t="s">
        <v>34</v>
      </c>
      <c r="D14" s="403"/>
      <c r="E14" s="396"/>
      <c r="F14" s="398"/>
    </row>
    <row r="15" spans="1:6" x14ac:dyDescent="0.25">
      <c r="A15" s="221"/>
      <c r="B15" s="221"/>
      <c r="C15" s="221"/>
      <c r="D15" s="221"/>
      <c r="E15" s="221"/>
      <c r="F15" s="1"/>
    </row>
    <row r="16" spans="1:6" x14ac:dyDescent="0.25">
      <c r="A16" s="221"/>
      <c r="B16" s="221"/>
      <c r="C16" s="221"/>
      <c r="D16" s="221"/>
      <c r="E16" s="221"/>
      <c r="F16" s="1"/>
    </row>
    <row r="17" spans="1:6" x14ac:dyDescent="0.25">
      <c r="A17" s="404" t="s">
        <v>35</v>
      </c>
      <c r="B17" s="394"/>
      <c r="C17" s="394"/>
      <c r="D17" s="394"/>
      <c r="E17" s="394"/>
      <c r="F17" s="394"/>
    </row>
    <row r="18" spans="1:6" x14ac:dyDescent="0.25">
      <c r="A18" s="404"/>
      <c r="B18" s="394"/>
      <c r="C18" s="394"/>
      <c r="D18" s="394"/>
      <c r="E18" s="394"/>
      <c r="F18" s="394"/>
    </row>
    <row r="19" spans="1:6" x14ac:dyDescent="0.25">
      <c r="A19" s="222"/>
      <c r="B19" s="5"/>
      <c r="C19" s="5"/>
      <c r="D19" s="5"/>
      <c r="E19" s="5"/>
      <c r="F19" s="5"/>
    </row>
    <row r="20" spans="1:6" x14ac:dyDescent="0.25">
      <c r="A20" s="87" t="s">
        <v>36</v>
      </c>
      <c r="B20" s="87" t="s">
        <v>37</v>
      </c>
      <c r="C20" s="405" t="s">
        <v>38</v>
      </c>
      <c r="D20" s="406"/>
      <c r="E20" s="407"/>
      <c r="F20" s="5"/>
    </row>
    <row r="21" spans="1:6" x14ac:dyDescent="0.25">
      <c r="A21" s="176">
        <v>64</v>
      </c>
      <c r="B21" s="175">
        <v>15</v>
      </c>
      <c r="C21" s="394"/>
      <c r="D21" s="394"/>
      <c r="E21" s="394"/>
      <c r="F21" s="5"/>
    </row>
    <row r="22" spans="1:6" x14ac:dyDescent="0.25">
      <c r="A22" s="222"/>
      <c r="B22" s="5"/>
      <c r="C22" s="5"/>
      <c r="D22" s="5"/>
      <c r="E22" s="5"/>
      <c r="F22" s="5"/>
    </row>
    <row r="23" spans="1:6" x14ac:dyDescent="0.25">
      <c r="A23" s="87" t="s">
        <v>39</v>
      </c>
      <c r="B23" s="87" t="s">
        <v>40</v>
      </c>
      <c r="C23" s="5"/>
      <c r="D23" s="5"/>
      <c r="E23" s="5"/>
      <c r="F23" s="5"/>
    </row>
    <row r="24" spans="1:6" x14ac:dyDescent="0.25">
      <c r="A24" s="176">
        <v>24</v>
      </c>
      <c r="B24" s="175">
        <v>3</v>
      </c>
      <c r="C24" s="5"/>
      <c r="D24" s="5"/>
      <c r="E24" s="5"/>
      <c r="F24" s="5"/>
    </row>
    <row r="25" spans="1:6" ht="16.5" thickBot="1" x14ac:dyDescent="0.3">
      <c r="A25" s="222"/>
      <c r="B25" s="5"/>
      <c r="C25" s="5"/>
      <c r="D25" s="5"/>
      <c r="E25" s="5"/>
      <c r="F25" s="5"/>
    </row>
    <row r="27" spans="1:6" x14ac:dyDescent="0.25">
      <c r="A27" s="252" t="s">
        <v>41</v>
      </c>
      <c r="B27" s="253" t="s">
        <v>42</v>
      </c>
      <c r="C27" s="253" t="s">
        <v>43</v>
      </c>
      <c r="D27" s="253" t="s">
        <v>44</v>
      </c>
      <c r="E27" s="254" t="s">
        <v>45</v>
      </c>
    </row>
    <row r="28" spans="1:6" x14ac:dyDescent="0.25">
      <c r="A28" s="255" t="s">
        <v>46</v>
      </c>
      <c r="B28" s="256" t="s">
        <v>47</v>
      </c>
      <c r="C28" s="257">
        <v>8</v>
      </c>
      <c r="D28" s="257">
        <v>2</v>
      </c>
      <c r="E28" s="258">
        <v>1</v>
      </c>
    </row>
    <row r="29" spans="1:6" x14ac:dyDescent="0.25">
      <c r="A29" s="255" t="s">
        <v>16</v>
      </c>
      <c r="B29" s="256" t="s">
        <v>47</v>
      </c>
      <c r="C29" s="257">
        <v>8</v>
      </c>
      <c r="D29" s="257">
        <v>2</v>
      </c>
      <c r="E29" s="258">
        <v>1</v>
      </c>
    </row>
    <row r="30" spans="1:6" ht="15.75" customHeight="1" x14ac:dyDescent="0.25">
      <c r="A30" s="255" t="s">
        <v>48</v>
      </c>
      <c r="B30" s="256" t="s">
        <v>47</v>
      </c>
      <c r="C30" s="257">
        <v>16</v>
      </c>
      <c r="D30" s="257">
        <v>2</v>
      </c>
      <c r="E30" s="258">
        <v>2</v>
      </c>
    </row>
    <row r="31" spans="1:6" ht="15.75" customHeight="1" x14ac:dyDescent="0.25">
      <c r="A31" s="255" t="s">
        <v>49</v>
      </c>
      <c r="B31" s="256" t="s">
        <v>47</v>
      </c>
      <c r="C31" s="257">
        <v>24</v>
      </c>
      <c r="D31" s="257">
        <v>2</v>
      </c>
      <c r="E31" s="258">
        <v>3</v>
      </c>
    </row>
    <row r="32" spans="1:6" ht="15.75" customHeight="1" x14ac:dyDescent="0.25">
      <c r="A32" s="255" t="s">
        <v>50</v>
      </c>
      <c r="B32" s="256" t="s">
        <v>47</v>
      </c>
      <c r="C32" s="257">
        <v>8</v>
      </c>
      <c r="D32" s="257">
        <v>2</v>
      </c>
      <c r="E32" s="258">
        <v>1</v>
      </c>
    </row>
    <row r="33" spans="1:5" x14ac:dyDescent="0.25">
      <c r="A33" s="392" t="s">
        <v>51</v>
      </c>
      <c r="B33" s="393"/>
      <c r="C33" s="259">
        <f>SUM(C28:C32)</f>
        <v>64</v>
      </c>
      <c r="D33" s="259">
        <v>2</v>
      </c>
      <c r="E33" s="260">
        <f>SUM(E28:E32)</f>
        <v>8</v>
      </c>
    </row>
  </sheetData>
  <mergeCells count="10">
    <mergeCell ref="A33:B33"/>
    <mergeCell ref="C21:E21"/>
    <mergeCell ref="E13:E14"/>
    <mergeCell ref="F13:F14"/>
    <mergeCell ref="A1:F1"/>
    <mergeCell ref="A4:A14"/>
    <mergeCell ref="D4:D14"/>
    <mergeCell ref="A17:A18"/>
    <mergeCell ref="B17:F18"/>
    <mergeCell ref="C20:E20"/>
  </mergeCells>
  <dataValidations count="3">
    <dataValidation type="list" allowBlank="1" showInputMessage="1" showErrorMessage="1" sqref="C10" xr:uid="{ED197D5A-EA6D-4E73-8154-C140A10B4F3F}">
      <formula1>"Estratégico,Mejora,Normativo"</formula1>
    </dataValidation>
    <dataValidation type="list" allowBlank="1" showInputMessage="1" showErrorMessage="1" sqref="C9" xr:uid="{45B2ED33-BC8E-4119-B9F8-8B2C5825F796}">
      <formula1>" ,Proyecto,Proyecto Liviano,Proyecto Ágil"</formula1>
    </dataValidation>
    <dataValidation type="list" allowBlank="1" showInputMessage="1" showErrorMessage="1" sqref="C8" xr:uid="{8840175D-84CF-4E71-B668-032BD6956A81}">
      <formula1>"Análisis,Planeación,Diseño,Ejecución,Cierre,Finalizado,Congelado,En espera de Cierre"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6902B6-1A2C-4A34-AD33-5BE7B21BB316}">
          <x14:formula1>
            <xm:f>listas!$A$2:$A$22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BH47"/>
  <sheetViews>
    <sheetView workbookViewId="0">
      <selection activeCell="C31" sqref="C31"/>
    </sheetView>
  </sheetViews>
  <sheetFormatPr baseColWidth="10" defaultColWidth="0" defaultRowHeight="15.75" zeroHeight="1" x14ac:dyDescent="0.25"/>
  <cols>
    <col min="1" max="1" width="12" style="23" customWidth="1"/>
    <col min="2" max="2" width="62.375" style="23" customWidth="1"/>
    <col min="3" max="4" width="15.625" style="23" customWidth="1"/>
    <col min="5" max="16384" width="11.5" style="23" hidden="1"/>
  </cols>
  <sheetData>
    <row r="1" spans="1:3" x14ac:dyDescent="0.25">
      <c r="A1" s="3"/>
      <c r="B1" s="3"/>
      <c r="C1" s="3"/>
    </row>
    <row r="2" spans="1:3" ht="21" customHeight="1" x14ac:dyDescent="0.25">
      <c r="A2" s="3"/>
      <c r="B2" s="408" t="s">
        <v>52</v>
      </c>
      <c r="C2" s="408"/>
    </row>
    <row r="3" spans="1:3" ht="16.5" thickBot="1" x14ac:dyDescent="0.3">
      <c r="A3" s="3"/>
      <c r="B3" s="3"/>
      <c r="C3" s="3"/>
    </row>
    <row r="4" spans="1:3" ht="25.5" x14ac:dyDescent="0.25">
      <c r="A4" s="3"/>
      <c r="B4" s="51" t="s">
        <v>53</v>
      </c>
      <c r="C4" s="52" t="s">
        <v>54</v>
      </c>
    </row>
    <row r="5" spans="1:3" x14ac:dyDescent="0.25">
      <c r="A5" s="24"/>
      <c r="B5" s="53" t="s">
        <v>55</v>
      </c>
      <c r="C5" s="54">
        <v>0.01</v>
      </c>
    </row>
    <row r="6" spans="1:3" x14ac:dyDescent="0.25">
      <c r="A6" s="24"/>
      <c r="B6" s="53" t="s">
        <v>56</v>
      </c>
      <c r="C6" s="54">
        <v>0</v>
      </c>
    </row>
    <row r="7" spans="1:3" x14ac:dyDescent="0.25">
      <c r="A7" s="24"/>
      <c r="B7" s="53" t="s">
        <v>57</v>
      </c>
      <c r="C7" s="54">
        <v>0.01</v>
      </c>
    </row>
    <row r="8" spans="1:3" x14ac:dyDescent="0.25">
      <c r="A8" s="24"/>
      <c r="B8" s="53" t="s">
        <v>58</v>
      </c>
      <c r="C8" s="54">
        <v>0.01</v>
      </c>
    </row>
    <row r="9" spans="1:3" x14ac:dyDescent="0.25">
      <c r="A9" s="24"/>
      <c r="B9" s="53" t="s">
        <v>59</v>
      </c>
      <c r="C9" s="54">
        <v>0.01</v>
      </c>
    </row>
    <row r="10" spans="1:3" x14ac:dyDescent="0.25">
      <c r="A10" s="24"/>
      <c r="B10" s="53" t="s">
        <v>60</v>
      </c>
      <c r="C10" s="54">
        <v>0.01</v>
      </c>
    </row>
    <row r="11" spans="1:3" x14ac:dyDescent="0.25">
      <c r="A11" s="24"/>
      <c r="B11" s="53" t="s">
        <v>61</v>
      </c>
      <c r="C11" s="54">
        <v>0.02</v>
      </c>
    </row>
    <row r="12" spans="1:3" x14ac:dyDescent="0.25">
      <c r="A12" s="24"/>
      <c r="B12" s="53" t="s">
        <v>62</v>
      </c>
      <c r="C12" s="54">
        <v>0.02</v>
      </c>
    </row>
    <row r="13" spans="1:3" x14ac:dyDescent="0.25">
      <c r="A13" s="24"/>
      <c r="B13" s="53" t="s">
        <v>63</v>
      </c>
      <c r="C13" s="54">
        <v>0.01</v>
      </c>
    </row>
    <row r="14" spans="1:3" x14ac:dyDescent="0.25">
      <c r="A14" s="24"/>
      <c r="B14" s="53" t="s">
        <v>64</v>
      </c>
      <c r="C14" s="54">
        <v>0.02</v>
      </c>
    </row>
    <row r="15" spans="1:3" x14ac:dyDescent="0.25">
      <c r="A15" s="24"/>
      <c r="B15" s="53" t="s">
        <v>65</v>
      </c>
      <c r="C15" s="54">
        <v>0.01</v>
      </c>
    </row>
    <row r="16" spans="1:3" x14ac:dyDescent="0.25">
      <c r="A16" s="24"/>
      <c r="B16" s="53" t="s">
        <v>66</v>
      </c>
      <c r="C16" s="54">
        <v>0.01</v>
      </c>
    </row>
    <row r="17" spans="1:60" x14ac:dyDescent="0.25">
      <c r="A17" s="24"/>
      <c r="B17" s="53" t="s">
        <v>67</v>
      </c>
      <c r="C17" s="54">
        <v>0.03</v>
      </c>
    </row>
    <row r="18" spans="1:60" x14ac:dyDescent="0.25">
      <c r="A18" s="24"/>
      <c r="B18" s="53" t="s">
        <v>68</v>
      </c>
      <c r="C18" s="54">
        <v>0.03</v>
      </c>
    </row>
    <row r="19" spans="1:60" x14ac:dyDescent="0.25">
      <c r="A19" s="24"/>
      <c r="B19" s="53" t="s">
        <v>69</v>
      </c>
      <c r="C19" s="54">
        <v>0.03</v>
      </c>
    </row>
    <row r="20" spans="1:60" x14ac:dyDescent="0.25">
      <c r="A20" s="24"/>
      <c r="B20" s="53" t="s">
        <v>70</v>
      </c>
      <c r="C20" s="54">
        <v>0.04</v>
      </c>
    </row>
    <row r="21" spans="1:60" x14ac:dyDescent="0.25">
      <c r="A21" s="24"/>
      <c r="B21" s="53" t="s">
        <v>71</v>
      </c>
      <c r="C21" s="54">
        <v>0.01</v>
      </c>
    </row>
    <row r="22" spans="1:60" x14ac:dyDescent="0.25">
      <c r="A22" s="24"/>
      <c r="B22" s="53" t="s">
        <v>72</v>
      </c>
      <c r="C22" s="54">
        <v>0</v>
      </c>
    </row>
    <row r="23" spans="1:60" x14ac:dyDescent="0.25">
      <c r="A23" s="24"/>
      <c r="B23" s="53" t="s">
        <v>73</v>
      </c>
      <c r="C23" s="54">
        <v>0.02</v>
      </c>
    </row>
    <row r="24" spans="1:60" ht="16.5" thickBot="1" x14ac:dyDescent="0.3">
      <c r="A24" s="3"/>
      <c r="B24" s="55" t="s">
        <v>74</v>
      </c>
      <c r="C24" s="56">
        <f>SUM(C5:C23)</f>
        <v>0.30000000000000004</v>
      </c>
    </row>
    <row r="25" spans="1:60" x14ac:dyDescent="0.25"/>
    <row r="26" spans="1:60" x14ac:dyDescent="0.25">
      <c r="B26" s="57" t="s">
        <v>75</v>
      </c>
    </row>
    <row r="27" spans="1:60" x14ac:dyDescent="0.25">
      <c r="B27" s="25"/>
      <c r="C27" s="1"/>
      <c r="E27" s="26"/>
      <c r="F27" s="26"/>
      <c r="G27" s="27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H27" s="29"/>
    </row>
    <row r="28" spans="1:60" x14ac:dyDescent="0.25">
      <c r="B28" s="30"/>
      <c r="C28" s="1"/>
      <c r="E28" s="31"/>
      <c r="F28" s="31"/>
      <c r="G28" s="1"/>
      <c r="H28" s="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H28" s="29"/>
    </row>
    <row r="29" spans="1:60" x14ac:dyDescent="0.25"/>
    <row r="30" spans="1:60" x14ac:dyDescent="0.25"/>
    <row r="31" spans="1:60" x14ac:dyDescent="0.25"/>
    <row r="32" spans="1:60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mergeCells count="1">
    <mergeCell ref="B2:C2"/>
  </mergeCells>
  <conditionalFormatting sqref="C5:C23">
    <cfRule type="cellIs" dxfId="5" priority="1" operator="greaterThan">
      <formula>0.08</formula>
    </cfRule>
  </conditionalFormatting>
  <conditionalFormatting sqref="C24">
    <cfRule type="cellIs" dxfId="4" priority="2" operator="greaterThan">
      <formula>0.37</formula>
    </cfRule>
    <cfRule type="cellIs" dxfId="3" priority="3" operator="greaterThan">
      <formula>38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E628-9629-464D-A254-89460ACBBF48}">
  <sheetPr codeName="Hoja4">
    <pageSetUpPr fitToPage="1"/>
  </sheetPr>
  <dimension ref="A1:Z982"/>
  <sheetViews>
    <sheetView showGridLines="0" tabSelected="1" topLeftCell="A13" zoomScale="78" zoomScaleNormal="78" workbookViewId="0">
      <selection activeCell="B41" sqref="B41:B44"/>
    </sheetView>
  </sheetViews>
  <sheetFormatPr baseColWidth="10" defaultColWidth="0" defaultRowHeight="15" customHeight="1" x14ac:dyDescent="0.2"/>
  <cols>
    <col min="1" max="1" width="2.5" style="88" customWidth="1"/>
    <col min="2" max="2" width="10.5" style="88" customWidth="1"/>
    <col min="3" max="3" width="20.125" style="88" customWidth="1"/>
    <col min="4" max="4" width="33.125" style="193" customWidth="1"/>
    <col min="5" max="5" width="58.125" style="88" customWidth="1"/>
    <col min="6" max="6" width="12.625" style="88" customWidth="1"/>
    <col min="7" max="7" width="14.625" style="88" customWidth="1"/>
    <col min="8" max="8" width="3.625" style="88" customWidth="1"/>
    <col min="9" max="26" width="0" style="88" hidden="1" customWidth="1"/>
    <col min="27" max="16384" width="12.625" style="88" hidden="1"/>
  </cols>
  <sheetData>
    <row r="1" spans="1:26" ht="12.75" customHeight="1" thickBot="1" x14ac:dyDescent="0.25">
      <c r="A1" s="409"/>
      <c r="B1" s="410"/>
      <c r="C1" s="410"/>
      <c r="D1" s="410"/>
      <c r="E1" s="410"/>
      <c r="F1" s="410"/>
      <c r="G1" s="410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 x14ac:dyDescent="0.2">
      <c r="A2" s="115"/>
      <c r="B2" s="411" t="s">
        <v>76</v>
      </c>
      <c r="C2" s="412"/>
      <c r="D2" s="412"/>
      <c r="E2" s="412"/>
      <c r="F2" s="412"/>
      <c r="G2" s="413"/>
    </row>
    <row r="3" spans="1:26" ht="12.75" x14ac:dyDescent="0.2">
      <c r="A3" s="115"/>
      <c r="B3" s="414"/>
      <c r="C3" s="410"/>
      <c r="D3" s="410"/>
      <c r="E3" s="410"/>
      <c r="F3" s="410"/>
      <c r="G3" s="415"/>
    </row>
    <row r="4" spans="1:26" ht="13.5" thickBot="1" x14ac:dyDescent="0.25">
      <c r="A4" s="115"/>
      <c r="B4" s="416"/>
      <c r="C4" s="417"/>
      <c r="D4" s="417"/>
      <c r="E4" s="417"/>
      <c r="F4" s="417"/>
      <c r="G4" s="418"/>
    </row>
    <row r="5" spans="1:26" ht="12.75" x14ac:dyDescent="0.2">
      <c r="A5" s="409"/>
      <c r="B5" s="410"/>
      <c r="C5" s="410"/>
      <c r="D5" s="410"/>
      <c r="E5" s="410"/>
      <c r="F5" s="410"/>
      <c r="G5" s="410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 x14ac:dyDescent="0.2">
      <c r="A6" s="410"/>
      <c r="B6" s="410"/>
      <c r="C6" s="410"/>
      <c r="D6" s="410"/>
      <c r="E6" s="410"/>
      <c r="F6" s="410"/>
      <c r="G6" s="410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 x14ac:dyDescent="0.2">
      <c r="A7" s="115"/>
      <c r="B7" s="207" t="s">
        <v>77</v>
      </c>
      <c r="C7" s="207" t="s">
        <v>78</v>
      </c>
      <c r="D7" s="280" t="s">
        <v>79</v>
      </c>
      <c r="E7" s="208" t="s">
        <v>80</v>
      </c>
      <c r="F7" s="207" t="s">
        <v>81</v>
      </c>
      <c r="G7" s="207" t="s">
        <v>82</v>
      </c>
    </row>
    <row r="8" spans="1:26" ht="15.75" x14ac:dyDescent="0.25">
      <c r="A8" s="101"/>
      <c r="B8" s="196" t="s">
        <v>83</v>
      </c>
      <c r="C8" s="198" t="s">
        <v>84</v>
      </c>
      <c r="D8" s="278" t="s">
        <v>85</v>
      </c>
      <c r="E8" s="279" t="s">
        <v>86</v>
      </c>
      <c r="F8" s="197" t="s">
        <v>87</v>
      </c>
      <c r="G8" s="198" t="s">
        <v>87</v>
      </c>
    </row>
    <row r="9" spans="1:26" ht="15.75" x14ac:dyDescent="0.25">
      <c r="A9" s="101"/>
      <c r="B9" s="196" t="s">
        <v>88</v>
      </c>
      <c r="C9" s="198" t="s">
        <v>84</v>
      </c>
      <c r="D9" s="274" t="s">
        <v>89</v>
      </c>
      <c r="E9" s="283" t="s">
        <v>90</v>
      </c>
      <c r="F9" s="197" t="s">
        <v>87</v>
      </c>
      <c r="G9" s="198" t="s">
        <v>87</v>
      </c>
    </row>
    <row r="10" spans="1:26" ht="15.75" x14ac:dyDescent="0.25">
      <c r="A10" s="101"/>
      <c r="B10" s="196" t="s">
        <v>91</v>
      </c>
      <c r="C10" s="198" t="s">
        <v>84</v>
      </c>
      <c r="D10" s="282" t="s">
        <v>85</v>
      </c>
      <c r="E10" s="281" t="s">
        <v>92</v>
      </c>
      <c r="F10" s="196" t="s">
        <v>87</v>
      </c>
      <c r="G10" s="198" t="s">
        <v>87</v>
      </c>
    </row>
    <row r="11" spans="1:26" ht="15.75" customHeight="1" x14ac:dyDescent="0.25">
      <c r="A11" s="109"/>
      <c r="B11" s="196" t="s">
        <v>93</v>
      </c>
      <c r="C11" s="198" t="s">
        <v>84</v>
      </c>
      <c r="D11" s="278" t="s">
        <v>85</v>
      </c>
      <c r="E11" s="284" t="s">
        <v>94</v>
      </c>
      <c r="F11" s="197" t="s">
        <v>87</v>
      </c>
      <c r="G11" s="198" t="s">
        <v>87</v>
      </c>
    </row>
    <row r="12" spans="1:26" ht="15.75" customHeight="1" x14ac:dyDescent="0.25">
      <c r="A12" s="109"/>
      <c r="B12" s="196" t="s">
        <v>95</v>
      </c>
      <c r="C12" s="198" t="s">
        <v>84</v>
      </c>
      <c r="D12" s="274" t="s">
        <v>85</v>
      </c>
      <c r="E12" s="279" t="s">
        <v>96</v>
      </c>
      <c r="F12" s="197" t="s">
        <v>87</v>
      </c>
      <c r="G12" s="198" t="s">
        <v>87</v>
      </c>
    </row>
    <row r="13" spans="1:26" ht="15.75" customHeight="1" x14ac:dyDescent="0.25">
      <c r="A13" s="109"/>
      <c r="B13" s="196" t="s">
        <v>97</v>
      </c>
      <c r="C13" s="197" t="s">
        <v>84</v>
      </c>
      <c r="D13" s="270" t="s">
        <v>85</v>
      </c>
      <c r="E13" s="271" t="s">
        <v>98</v>
      </c>
      <c r="F13" s="197" t="s">
        <v>87</v>
      </c>
      <c r="G13" s="197" t="s">
        <v>87</v>
      </c>
    </row>
    <row r="14" spans="1:26" ht="15.75" customHeight="1" x14ac:dyDescent="0.25">
      <c r="A14" s="108"/>
      <c r="B14" s="196" t="s">
        <v>99</v>
      </c>
      <c r="C14" s="197" t="s">
        <v>84</v>
      </c>
      <c r="D14" s="270" t="s">
        <v>85</v>
      </c>
      <c r="E14" s="272" t="s">
        <v>100</v>
      </c>
      <c r="F14" s="196" t="s">
        <v>87</v>
      </c>
      <c r="G14" s="197" t="s">
        <v>87</v>
      </c>
    </row>
    <row r="15" spans="1:26" ht="15.75" customHeight="1" x14ac:dyDescent="0.25">
      <c r="A15" s="108"/>
      <c r="B15" s="196" t="s">
        <v>101</v>
      </c>
      <c r="C15" s="198" t="s">
        <v>84</v>
      </c>
      <c r="D15" s="273" t="s">
        <v>102</v>
      </c>
      <c r="E15" s="275" t="s">
        <v>103</v>
      </c>
      <c r="F15" s="196" t="s">
        <v>87</v>
      </c>
      <c r="G15" s="197" t="s">
        <v>87</v>
      </c>
    </row>
    <row r="16" spans="1:26" ht="15.75" customHeight="1" x14ac:dyDescent="0.25">
      <c r="A16" s="108"/>
      <c r="B16" s="196" t="s">
        <v>104</v>
      </c>
      <c r="C16" s="198" t="s">
        <v>84</v>
      </c>
      <c r="D16" s="278" t="s">
        <v>102</v>
      </c>
      <c r="E16" s="276" t="s">
        <v>105</v>
      </c>
      <c r="F16" s="196" t="s">
        <v>87</v>
      </c>
      <c r="G16" s="197" t="s">
        <v>87</v>
      </c>
    </row>
    <row r="17" spans="1:7" ht="15.75" customHeight="1" x14ac:dyDescent="0.25">
      <c r="A17" s="108"/>
      <c r="B17" s="196" t="s">
        <v>106</v>
      </c>
      <c r="C17" s="198" t="s">
        <v>84</v>
      </c>
      <c r="D17" s="274" t="s">
        <v>102</v>
      </c>
      <c r="E17" s="277" t="s">
        <v>107</v>
      </c>
      <c r="F17" s="196" t="s">
        <v>87</v>
      </c>
      <c r="G17" s="197" t="s">
        <v>87</v>
      </c>
    </row>
    <row r="18" spans="1:7" ht="15.75" customHeight="1" x14ac:dyDescent="0.25">
      <c r="A18" s="108"/>
      <c r="B18" s="196" t="s">
        <v>108</v>
      </c>
      <c r="C18" s="198" t="s">
        <v>84</v>
      </c>
      <c r="D18" s="274" t="s">
        <v>102</v>
      </c>
      <c r="E18" s="388" t="s">
        <v>109</v>
      </c>
      <c r="F18" s="196" t="s">
        <v>87</v>
      </c>
      <c r="G18" s="196" t="s">
        <v>87</v>
      </c>
    </row>
    <row r="19" spans="1:7" ht="15.75" customHeight="1" x14ac:dyDescent="0.25">
      <c r="A19" s="108"/>
      <c r="B19" s="196" t="s">
        <v>110</v>
      </c>
      <c r="C19" s="198" t="s">
        <v>84</v>
      </c>
      <c r="D19" s="274" t="s">
        <v>102</v>
      </c>
      <c r="E19" s="388" t="s">
        <v>111</v>
      </c>
      <c r="F19" s="197" t="s">
        <v>87</v>
      </c>
      <c r="G19" s="198" t="s">
        <v>87</v>
      </c>
    </row>
    <row r="20" spans="1:7" ht="15.75" customHeight="1" x14ac:dyDescent="0.25">
      <c r="A20" s="106"/>
      <c r="B20" s="196" t="s">
        <v>112</v>
      </c>
      <c r="C20" s="292" t="s">
        <v>113</v>
      </c>
      <c r="D20" s="282" t="s">
        <v>114</v>
      </c>
      <c r="E20" s="286" t="s">
        <v>115</v>
      </c>
      <c r="F20" s="196" t="s">
        <v>87</v>
      </c>
      <c r="G20" s="197" t="s">
        <v>87</v>
      </c>
    </row>
    <row r="21" spans="1:7" ht="15.75" customHeight="1" x14ac:dyDescent="0.25">
      <c r="A21" s="106"/>
      <c r="B21" s="196" t="s">
        <v>116</v>
      </c>
      <c r="C21" s="291" t="s">
        <v>113</v>
      </c>
      <c r="D21" s="289" t="s">
        <v>28</v>
      </c>
      <c r="E21" s="290" t="s">
        <v>117</v>
      </c>
      <c r="F21" s="196" t="s">
        <v>87</v>
      </c>
      <c r="G21" s="197" t="s">
        <v>87</v>
      </c>
    </row>
    <row r="22" spans="1:7" ht="15.75" customHeight="1" x14ac:dyDescent="0.25">
      <c r="A22" s="106"/>
      <c r="B22" s="196" t="s">
        <v>118</v>
      </c>
      <c r="C22" s="198" t="s">
        <v>113</v>
      </c>
      <c r="D22" s="282" t="s">
        <v>28</v>
      </c>
      <c r="E22" s="286" t="s">
        <v>119</v>
      </c>
      <c r="F22" s="196" t="s">
        <v>87</v>
      </c>
      <c r="G22" s="197" t="s">
        <v>87</v>
      </c>
    </row>
    <row r="23" spans="1:7" ht="15.75" customHeight="1" x14ac:dyDescent="0.25">
      <c r="A23" s="106"/>
      <c r="B23" s="196" t="s">
        <v>120</v>
      </c>
      <c r="C23" s="198" t="s">
        <v>113</v>
      </c>
      <c r="D23" s="287" t="s">
        <v>28</v>
      </c>
      <c r="E23" s="293" t="s">
        <v>121</v>
      </c>
      <c r="F23" s="196" t="s">
        <v>87</v>
      </c>
      <c r="G23" s="197" t="s">
        <v>87</v>
      </c>
    </row>
    <row r="24" spans="1:7" ht="15.75" customHeight="1" x14ac:dyDescent="0.25">
      <c r="A24" s="106"/>
      <c r="B24" s="196" t="s">
        <v>122</v>
      </c>
      <c r="C24" s="198" t="s">
        <v>113</v>
      </c>
      <c r="D24" s="289" t="s">
        <v>28</v>
      </c>
      <c r="E24" s="286" t="s">
        <v>123</v>
      </c>
      <c r="F24" s="196" t="s">
        <v>87</v>
      </c>
      <c r="G24" s="197" t="s">
        <v>87</v>
      </c>
    </row>
    <row r="25" spans="1:7" ht="15.75" customHeight="1" x14ac:dyDescent="0.25">
      <c r="A25" s="106"/>
      <c r="B25" s="196" t="s">
        <v>124</v>
      </c>
      <c r="C25" s="198" t="s">
        <v>113</v>
      </c>
      <c r="D25" s="282" t="s">
        <v>28</v>
      </c>
      <c r="E25" s="113" t="s">
        <v>125</v>
      </c>
      <c r="F25" s="196" t="s">
        <v>87</v>
      </c>
      <c r="G25" s="197" t="s">
        <v>87</v>
      </c>
    </row>
    <row r="26" spans="1:7" ht="15.75" customHeight="1" x14ac:dyDescent="0.25">
      <c r="A26" s="101"/>
      <c r="B26" s="196" t="s">
        <v>126</v>
      </c>
      <c r="C26" s="198" t="s">
        <v>113</v>
      </c>
      <c r="D26" s="287" t="s">
        <v>28</v>
      </c>
      <c r="E26" s="290" t="s">
        <v>127</v>
      </c>
      <c r="F26" s="196" t="s">
        <v>87</v>
      </c>
      <c r="G26" s="197" t="s">
        <v>87</v>
      </c>
    </row>
    <row r="27" spans="1:7" ht="15.75" customHeight="1" x14ac:dyDescent="0.25">
      <c r="A27" s="93"/>
      <c r="B27" s="196" t="s">
        <v>128</v>
      </c>
      <c r="C27" s="198" t="s">
        <v>113</v>
      </c>
      <c r="D27" s="287" t="s">
        <v>28</v>
      </c>
      <c r="E27" s="288" t="s">
        <v>129</v>
      </c>
      <c r="F27" s="196" t="s">
        <v>87</v>
      </c>
      <c r="G27" s="197" t="s">
        <v>87</v>
      </c>
    </row>
    <row r="28" spans="1:7" ht="15" customHeight="1" x14ac:dyDescent="0.25">
      <c r="B28" s="196" t="s">
        <v>130</v>
      </c>
      <c r="C28" s="198" t="s">
        <v>113</v>
      </c>
      <c r="D28" s="287" t="s">
        <v>28</v>
      </c>
      <c r="E28" s="288" t="s">
        <v>131</v>
      </c>
      <c r="F28" s="196" t="s">
        <v>87</v>
      </c>
      <c r="G28" s="197" t="s">
        <v>87</v>
      </c>
    </row>
    <row r="29" spans="1:7" ht="15" customHeight="1" x14ac:dyDescent="0.25">
      <c r="B29" s="196" t="s">
        <v>132</v>
      </c>
      <c r="C29" s="198" t="s">
        <v>113</v>
      </c>
      <c r="D29" s="287" t="s">
        <v>28</v>
      </c>
      <c r="E29" s="288" t="s">
        <v>133</v>
      </c>
      <c r="F29" s="196" t="s">
        <v>87</v>
      </c>
      <c r="G29" s="197" t="s">
        <v>87</v>
      </c>
    </row>
    <row r="30" spans="1:7" ht="15" customHeight="1" x14ac:dyDescent="0.25">
      <c r="B30" s="196" t="s">
        <v>134</v>
      </c>
      <c r="C30" s="295" t="s">
        <v>113</v>
      </c>
      <c r="D30" s="289" t="s">
        <v>28</v>
      </c>
      <c r="E30" s="286" t="s">
        <v>135</v>
      </c>
      <c r="F30" s="196" t="s">
        <v>87</v>
      </c>
      <c r="G30" s="197" t="s">
        <v>87</v>
      </c>
    </row>
    <row r="31" spans="1:7" ht="15" customHeight="1" x14ac:dyDescent="0.25">
      <c r="B31" s="196" t="s">
        <v>136</v>
      </c>
      <c r="C31" s="295" t="s">
        <v>113</v>
      </c>
      <c r="D31" s="285" t="s">
        <v>28</v>
      </c>
      <c r="E31" s="294" t="s">
        <v>137</v>
      </c>
      <c r="F31" s="196" t="s">
        <v>87</v>
      </c>
      <c r="G31" s="197" t="s">
        <v>87</v>
      </c>
    </row>
    <row r="32" spans="1:7" ht="15" customHeight="1" x14ac:dyDescent="0.25">
      <c r="B32" s="196" t="s">
        <v>138</v>
      </c>
      <c r="C32" s="198" t="s">
        <v>139</v>
      </c>
      <c r="D32" s="273" t="s">
        <v>28</v>
      </c>
      <c r="E32" s="279" t="s">
        <v>94</v>
      </c>
      <c r="F32" s="196" t="s">
        <v>87</v>
      </c>
      <c r="G32" s="197" t="s">
        <v>87</v>
      </c>
    </row>
    <row r="33" spans="2:7" ht="15" customHeight="1" x14ac:dyDescent="0.25">
      <c r="B33" s="196" t="s">
        <v>140</v>
      </c>
      <c r="C33" s="198" t="s">
        <v>139</v>
      </c>
      <c r="D33" s="273" t="s">
        <v>28</v>
      </c>
      <c r="E33" s="279" t="s">
        <v>90</v>
      </c>
      <c r="F33" s="196" t="s">
        <v>87</v>
      </c>
      <c r="G33" s="197" t="s">
        <v>87</v>
      </c>
    </row>
    <row r="34" spans="2:7" ht="15" customHeight="1" x14ac:dyDescent="0.25">
      <c r="B34" s="196" t="s">
        <v>141</v>
      </c>
      <c r="C34" s="198" t="s">
        <v>139</v>
      </c>
      <c r="D34" s="278" t="s">
        <v>28</v>
      </c>
      <c r="E34" s="279" t="s">
        <v>92</v>
      </c>
      <c r="F34" s="196" t="s">
        <v>87</v>
      </c>
      <c r="G34" s="197" t="s">
        <v>87</v>
      </c>
    </row>
    <row r="35" spans="2:7" ht="15" customHeight="1" x14ac:dyDescent="0.25">
      <c r="B35" s="196" t="s">
        <v>142</v>
      </c>
      <c r="C35" s="198" t="s">
        <v>139</v>
      </c>
      <c r="D35" s="285" t="s">
        <v>28</v>
      </c>
      <c r="E35" s="279" t="s">
        <v>96</v>
      </c>
      <c r="F35" s="196" t="s">
        <v>87</v>
      </c>
      <c r="G35" s="197" t="s">
        <v>87</v>
      </c>
    </row>
    <row r="36" spans="2:7" ht="15" customHeight="1" x14ac:dyDescent="0.25">
      <c r="B36" s="196" t="s">
        <v>143</v>
      </c>
      <c r="C36" s="198" t="s">
        <v>139</v>
      </c>
      <c r="D36" s="278" t="s">
        <v>28</v>
      </c>
      <c r="E36" s="279" t="s">
        <v>86</v>
      </c>
      <c r="F36" s="196" t="s">
        <v>87</v>
      </c>
      <c r="G36" s="197" t="s">
        <v>87</v>
      </c>
    </row>
    <row r="37" spans="2:7" ht="15" customHeight="1" x14ac:dyDescent="0.25">
      <c r="B37" s="196" t="s">
        <v>144</v>
      </c>
      <c r="C37" s="198" t="s">
        <v>139</v>
      </c>
      <c r="D37" s="285" t="s">
        <v>28</v>
      </c>
      <c r="E37" s="279" t="s">
        <v>145</v>
      </c>
      <c r="F37" s="196" t="s">
        <v>87</v>
      </c>
      <c r="G37" s="197" t="s">
        <v>87</v>
      </c>
    </row>
    <row r="38" spans="2:7" ht="15" customHeight="1" x14ac:dyDescent="0.25">
      <c r="B38" s="196" t="s">
        <v>146</v>
      </c>
      <c r="C38" s="198" t="s">
        <v>139</v>
      </c>
      <c r="D38" s="273" t="s">
        <v>28</v>
      </c>
      <c r="E38" s="279" t="s">
        <v>147</v>
      </c>
      <c r="F38" s="196" t="s">
        <v>87</v>
      </c>
      <c r="G38" s="197" t="s">
        <v>87</v>
      </c>
    </row>
    <row r="39" spans="2:7" ht="15" customHeight="1" x14ac:dyDescent="0.25">
      <c r="B39" s="196" t="s">
        <v>148</v>
      </c>
      <c r="C39" s="198" t="s">
        <v>139</v>
      </c>
      <c r="D39" s="278" t="s">
        <v>28</v>
      </c>
      <c r="E39" s="279" t="s">
        <v>149</v>
      </c>
      <c r="F39" s="196" t="s">
        <v>87</v>
      </c>
      <c r="G39" s="197" t="s">
        <v>87</v>
      </c>
    </row>
    <row r="40" spans="2:7" ht="15" customHeight="1" x14ac:dyDescent="0.25">
      <c r="B40" s="196" t="s">
        <v>150</v>
      </c>
      <c r="C40" s="198" t="s">
        <v>139</v>
      </c>
      <c r="D40" s="270" t="s">
        <v>28</v>
      </c>
      <c r="E40" s="297" t="s">
        <v>107</v>
      </c>
      <c r="F40" s="196" t="s">
        <v>87</v>
      </c>
      <c r="G40" s="197" t="s">
        <v>87</v>
      </c>
    </row>
    <row r="41" spans="2:7" ht="15" customHeight="1" x14ac:dyDescent="0.25">
      <c r="B41" s="196" t="s">
        <v>151</v>
      </c>
      <c r="C41" s="198" t="s">
        <v>139</v>
      </c>
      <c r="D41" s="270" t="s">
        <v>28</v>
      </c>
      <c r="E41" s="296" t="s">
        <v>152</v>
      </c>
      <c r="F41" s="196" t="s">
        <v>87</v>
      </c>
      <c r="G41" s="197" t="s">
        <v>87</v>
      </c>
    </row>
    <row r="42" spans="2:7" ht="15" customHeight="1" x14ac:dyDescent="0.25">
      <c r="B42" s="196" t="s">
        <v>689</v>
      </c>
      <c r="C42" s="198" t="s">
        <v>685</v>
      </c>
      <c r="D42" s="270" t="s">
        <v>28</v>
      </c>
      <c r="E42" s="503" t="s">
        <v>686</v>
      </c>
      <c r="F42" s="505" t="s">
        <v>161</v>
      </c>
      <c r="G42" s="505" t="s">
        <v>161</v>
      </c>
    </row>
    <row r="43" spans="2:7" ht="15" customHeight="1" x14ac:dyDescent="0.25">
      <c r="B43" s="196" t="s">
        <v>690</v>
      </c>
      <c r="C43" s="198" t="s">
        <v>685</v>
      </c>
      <c r="D43" s="270" t="s">
        <v>28</v>
      </c>
      <c r="E43" s="503" t="s">
        <v>687</v>
      </c>
      <c r="F43" s="505" t="s">
        <v>161</v>
      </c>
      <c r="G43" s="505" t="s">
        <v>161</v>
      </c>
    </row>
    <row r="44" spans="2:7" ht="15" customHeight="1" x14ac:dyDescent="0.25">
      <c r="B44" s="196" t="s">
        <v>691</v>
      </c>
      <c r="C44" s="198" t="s">
        <v>685</v>
      </c>
      <c r="D44" s="270" t="s">
        <v>28</v>
      </c>
      <c r="E44" s="503" t="s">
        <v>688</v>
      </c>
      <c r="F44" s="505" t="s">
        <v>161</v>
      </c>
      <c r="G44" s="505" t="s">
        <v>161</v>
      </c>
    </row>
    <row r="45" spans="2:7" ht="15" customHeight="1" x14ac:dyDescent="0.25">
      <c r="B45" s="196"/>
      <c r="C45" s="200"/>
      <c r="D45" s="201"/>
      <c r="E45" s="504"/>
      <c r="F45" s="200"/>
      <c r="G45" s="202"/>
    </row>
    <row r="46" spans="2:7" ht="15" customHeight="1" x14ac:dyDescent="0.2">
      <c r="B46" s="196"/>
      <c r="C46" s="200"/>
      <c r="D46" s="201"/>
      <c r="E46" s="200"/>
      <c r="F46" s="200"/>
      <c r="G46" s="202"/>
    </row>
    <row r="47" spans="2:7" ht="15" customHeight="1" x14ac:dyDescent="0.2">
      <c r="B47" s="196"/>
      <c r="C47" s="200"/>
      <c r="D47" s="201"/>
      <c r="E47" s="200"/>
      <c r="F47" s="200"/>
      <c r="G47" s="202"/>
    </row>
    <row r="48" spans="2:7" ht="15" customHeight="1" x14ac:dyDescent="0.2">
      <c r="B48" s="196"/>
      <c r="C48" s="200"/>
      <c r="D48" s="201"/>
      <c r="E48" s="200"/>
      <c r="F48" s="200"/>
      <c r="G48" s="202"/>
    </row>
    <row r="49" spans="2:7" ht="15" customHeight="1" x14ac:dyDescent="0.2">
      <c r="B49" s="196"/>
      <c r="C49" s="200"/>
      <c r="D49" s="201"/>
      <c r="E49" s="200"/>
      <c r="F49" s="200"/>
      <c r="G49" s="202"/>
    </row>
    <row r="50" spans="2:7" ht="15" customHeight="1" x14ac:dyDescent="0.2">
      <c r="B50" s="196"/>
      <c r="C50" s="200"/>
      <c r="D50" s="201"/>
      <c r="E50" s="200"/>
      <c r="F50" s="200"/>
      <c r="G50" s="202"/>
    </row>
    <row r="51" spans="2:7" ht="15" customHeight="1" x14ac:dyDescent="0.2">
      <c r="B51" s="196"/>
      <c r="C51" s="200"/>
      <c r="D51" s="201"/>
      <c r="E51" s="200"/>
      <c r="F51" s="200"/>
      <c r="G51" s="202"/>
    </row>
    <row r="52" spans="2:7" ht="15" customHeight="1" x14ac:dyDescent="0.2">
      <c r="B52" s="196"/>
      <c r="C52" s="200"/>
      <c r="D52" s="201"/>
      <c r="E52" s="200"/>
      <c r="F52" s="200"/>
      <c r="G52" s="202"/>
    </row>
    <row r="53" spans="2:7" ht="15" customHeight="1" x14ac:dyDescent="0.2">
      <c r="B53" s="196"/>
      <c r="C53" s="200"/>
      <c r="D53" s="201"/>
      <c r="E53" s="200"/>
      <c r="F53" s="200"/>
      <c r="G53" s="202"/>
    </row>
    <row r="54" spans="2:7" ht="15" customHeight="1" x14ac:dyDescent="0.2">
      <c r="B54" s="196"/>
      <c r="C54" s="200"/>
      <c r="D54" s="201"/>
      <c r="E54" s="200"/>
      <c r="F54" s="200"/>
      <c r="G54" s="202"/>
    </row>
    <row r="55" spans="2:7" ht="15" customHeight="1" x14ac:dyDescent="0.2">
      <c r="B55" s="199"/>
      <c r="C55" s="200"/>
      <c r="D55" s="201"/>
      <c r="E55" s="200"/>
      <c r="F55" s="200"/>
      <c r="G55" s="202"/>
    </row>
    <row r="56" spans="2:7" ht="15" customHeight="1" x14ac:dyDescent="0.2">
      <c r="B56" s="199"/>
      <c r="C56" s="200"/>
      <c r="D56" s="201"/>
      <c r="E56" s="200"/>
      <c r="F56" s="200"/>
      <c r="G56" s="202"/>
    </row>
    <row r="57" spans="2:7" ht="15" customHeight="1" x14ac:dyDescent="0.2">
      <c r="B57" s="199"/>
      <c r="C57" s="200"/>
      <c r="D57" s="201"/>
      <c r="E57" s="200"/>
      <c r="F57" s="200"/>
      <c r="G57" s="202"/>
    </row>
    <row r="58" spans="2:7" ht="15" customHeight="1" x14ac:dyDescent="0.2">
      <c r="B58" s="199"/>
      <c r="C58" s="200"/>
      <c r="D58" s="201"/>
      <c r="E58" s="200"/>
      <c r="F58" s="200"/>
      <c r="G58" s="202"/>
    </row>
    <row r="59" spans="2:7" ht="15" customHeight="1" x14ac:dyDescent="0.2">
      <c r="B59" s="199"/>
      <c r="C59" s="200"/>
      <c r="D59" s="201"/>
      <c r="E59" s="200"/>
      <c r="F59" s="200"/>
      <c r="G59" s="202"/>
    </row>
    <row r="60" spans="2:7" ht="15" customHeight="1" x14ac:dyDescent="0.2">
      <c r="B60" s="199"/>
      <c r="C60" s="200"/>
      <c r="D60" s="201"/>
      <c r="E60" s="200"/>
      <c r="F60" s="200"/>
      <c r="G60" s="202"/>
    </row>
    <row r="61" spans="2:7" ht="15" customHeight="1" x14ac:dyDescent="0.2">
      <c r="B61" s="199"/>
      <c r="C61" s="200"/>
      <c r="D61" s="201"/>
      <c r="E61" s="200"/>
      <c r="F61" s="200"/>
      <c r="G61" s="202"/>
    </row>
    <row r="62" spans="2:7" ht="15" customHeight="1" x14ac:dyDescent="0.2">
      <c r="B62" s="199"/>
      <c r="C62" s="200"/>
      <c r="D62" s="201"/>
      <c r="E62" s="200"/>
      <c r="F62" s="200"/>
      <c r="G62" s="202"/>
    </row>
    <row r="63" spans="2:7" ht="15" customHeight="1" x14ac:dyDescent="0.2">
      <c r="B63" s="199"/>
      <c r="C63" s="200"/>
      <c r="D63" s="201"/>
      <c r="E63" s="200"/>
      <c r="F63" s="200"/>
      <c r="G63" s="202"/>
    </row>
    <row r="64" spans="2:7" ht="15" customHeight="1" x14ac:dyDescent="0.2">
      <c r="B64" s="199"/>
      <c r="C64" s="200"/>
      <c r="D64" s="201"/>
      <c r="E64" s="200"/>
      <c r="F64" s="200"/>
      <c r="G64" s="202"/>
    </row>
    <row r="65" spans="2:7" ht="15" customHeight="1" x14ac:dyDescent="0.2">
      <c r="B65" s="199"/>
      <c r="C65" s="200"/>
      <c r="D65" s="201"/>
      <c r="E65" s="200"/>
      <c r="F65" s="200"/>
      <c r="G65" s="202"/>
    </row>
    <row r="66" spans="2:7" ht="15" customHeight="1" x14ac:dyDescent="0.2">
      <c r="B66" s="199"/>
      <c r="C66" s="200"/>
      <c r="D66" s="201"/>
      <c r="E66" s="200"/>
      <c r="F66" s="200"/>
      <c r="G66" s="202"/>
    </row>
    <row r="67" spans="2:7" ht="15" customHeight="1" x14ac:dyDescent="0.2">
      <c r="B67" s="199"/>
      <c r="C67" s="200"/>
      <c r="D67" s="201"/>
      <c r="E67" s="200"/>
      <c r="F67" s="200"/>
      <c r="G67" s="202"/>
    </row>
    <row r="68" spans="2:7" ht="15" customHeight="1" x14ac:dyDescent="0.2">
      <c r="B68" s="199"/>
      <c r="C68" s="200"/>
      <c r="D68" s="201"/>
      <c r="E68" s="200"/>
      <c r="F68" s="200"/>
      <c r="G68" s="202"/>
    </row>
    <row r="69" spans="2:7" ht="15" customHeight="1" x14ac:dyDescent="0.2">
      <c r="B69" s="199"/>
      <c r="C69" s="200"/>
      <c r="D69" s="201"/>
      <c r="E69" s="200"/>
      <c r="F69" s="200"/>
      <c r="G69" s="202"/>
    </row>
    <row r="70" spans="2:7" ht="15" customHeight="1" x14ac:dyDescent="0.2">
      <c r="B70" s="199"/>
      <c r="C70" s="200"/>
      <c r="D70" s="201"/>
      <c r="E70" s="200"/>
      <c r="F70" s="200"/>
      <c r="G70" s="202"/>
    </row>
    <row r="71" spans="2:7" ht="15" customHeight="1" x14ac:dyDescent="0.2">
      <c r="B71" s="199"/>
      <c r="C71" s="200"/>
      <c r="D71" s="201"/>
      <c r="E71" s="200"/>
      <c r="F71" s="200"/>
      <c r="G71" s="202"/>
    </row>
    <row r="72" spans="2:7" ht="15" customHeight="1" x14ac:dyDescent="0.2">
      <c r="B72" s="199"/>
      <c r="C72" s="200"/>
      <c r="D72" s="201"/>
      <c r="E72" s="200"/>
      <c r="F72" s="200"/>
      <c r="G72" s="202"/>
    </row>
    <row r="73" spans="2:7" ht="15" customHeight="1" x14ac:dyDescent="0.2">
      <c r="B73" s="199"/>
      <c r="C73" s="200"/>
      <c r="D73" s="201"/>
      <c r="E73" s="200"/>
      <c r="F73" s="200"/>
      <c r="G73" s="202"/>
    </row>
    <row r="74" spans="2:7" ht="15" customHeight="1" x14ac:dyDescent="0.2">
      <c r="B74" s="199"/>
      <c r="C74" s="200"/>
      <c r="D74" s="201"/>
      <c r="E74" s="200"/>
      <c r="F74" s="200"/>
      <c r="G74" s="202"/>
    </row>
    <row r="75" spans="2:7" ht="15" customHeight="1" x14ac:dyDescent="0.2">
      <c r="B75" s="199"/>
      <c r="C75" s="200"/>
      <c r="D75" s="201"/>
      <c r="E75" s="200"/>
      <c r="F75" s="200"/>
      <c r="G75" s="202"/>
    </row>
    <row r="76" spans="2:7" ht="15" customHeight="1" x14ac:dyDescent="0.2">
      <c r="B76" s="199"/>
      <c r="C76" s="200"/>
      <c r="D76" s="201"/>
      <c r="E76" s="200"/>
      <c r="F76" s="200"/>
      <c r="G76" s="202"/>
    </row>
    <row r="77" spans="2:7" ht="15" customHeight="1" x14ac:dyDescent="0.2">
      <c r="B77" s="199"/>
      <c r="C77" s="200"/>
      <c r="D77" s="201"/>
      <c r="E77" s="200"/>
      <c r="F77" s="200"/>
      <c r="G77" s="202"/>
    </row>
    <row r="78" spans="2:7" ht="15" customHeight="1" x14ac:dyDescent="0.2">
      <c r="B78" s="199"/>
      <c r="C78" s="200"/>
      <c r="D78" s="201"/>
      <c r="E78" s="200"/>
      <c r="F78" s="200"/>
      <c r="G78" s="202"/>
    </row>
    <row r="79" spans="2:7" ht="15" customHeight="1" x14ac:dyDescent="0.2">
      <c r="B79" s="199"/>
      <c r="C79" s="200"/>
      <c r="D79" s="201"/>
      <c r="E79" s="200"/>
      <c r="F79" s="200"/>
      <c r="G79" s="202"/>
    </row>
    <row r="80" spans="2:7" ht="15" customHeight="1" x14ac:dyDescent="0.2">
      <c r="B80" s="199"/>
      <c r="C80" s="200"/>
      <c r="D80" s="201"/>
      <c r="E80" s="200"/>
      <c r="F80" s="200"/>
      <c r="G80" s="202"/>
    </row>
    <row r="81" spans="2:7" ht="15" customHeight="1" x14ac:dyDescent="0.2">
      <c r="B81" s="199"/>
      <c r="C81" s="200"/>
      <c r="D81" s="201"/>
      <c r="E81" s="200"/>
      <c r="F81" s="200"/>
      <c r="G81" s="202"/>
    </row>
    <row r="82" spans="2:7" ht="15" customHeight="1" x14ac:dyDescent="0.2">
      <c r="B82" s="199"/>
      <c r="C82" s="200"/>
      <c r="D82" s="201"/>
      <c r="E82" s="200"/>
      <c r="F82" s="200"/>
      <c r="G82" s="202"/>
    </row>
    <row r="83" spans="2:7" ht="15" customHeight="1" x14ac:dyDescent="0.2">
      <c r="B83" s="199"/>
      <c r="C83" s="200"/>
      <c r="D83" s="201"/>
      <c r="E83" s="200"/>
      <c r="F83" s="200"/>
      <c r="G83" s="202"/>
    </row>
    <row r="84" spans="2:7" ht="15" customHeight="1" x14ac:dyDescent="0.2">
      <c r="B84" s="199"/>
      <c r="C84" s="200"/>
      <c r="D84" s="201"/>
      <c r="E84" s="200"/>
      <c r="F84" s="200"/>
      <c r="G84" s="202"/>
    </row>
    <row r="85" spans="2:7" ht="15" customHeight="1" x14ac:dyDescent="0.2">
      <c r="B85" s="199"/>
      <c r="C85" s="200"/>
      <c r="D85" s="201"/>
      <c r="E85" s="200"/>
      <c r="F85" s="200"/>
      <c r="G85" s="202"/>
    </row>
    <row r="86" spans="2:7" ht="15" customHeight="1" x14ac:dyDescent="0.2">
      <c r="B86" s="199"/>
      <c r="C86" s="200"/>
      <c r="D86" s="201"/>
      <c r="E86" s="200"/>
      <c r="F86" s="200"/>
      <c r="G86" s="202"/>
    </row>
    <row r="87" spans="2:7" ht="15" customHeight="1" x14ac:dyDescent="0.2">
      <c r="B87" s="199"/>
      <c r="C87" s="200"/>
      <c r="D87" s="201"/>
      <c r="E87" s="200"/>
      <c r="F87" s="200"/>
      <c r="G87" s="202"/>
    </row>
    <row r="88" spans="2:7" ht="15" customHeight="1" x14ac:dyDescent="0.2">
      <c r="B88" s="199"/>
      <c r="C88" s="200"/>
      <c r="D88" s="201"/>
      <c r="E88" s="200"/>
      <c r="F88" s="200"/>
      <c r="G88" s="202"/>
    </row>
    <row r="89" spans="2:7" ht="15" customHeight="1" x14ac:dyDescent="0.2">
      <c r="B89" s="199"/>
      <c r="C89" s="200"/>
      <c r="D89" s="201"/>
      <c r="E89" s="200"/>
      <c r="F89" s="200"/>
      <c r="G89" s="202"/>
    </row>
    <row r="90" spans="2:7" ht="15" customHeight="1" x14ac:dyDescent="0.2">
      <c r="B90" s="199"/>
      <c r="C90" s="200"/>
      <c r="D90" s="201"/>
      <c r="E90" s="200"/>
      <c r="F90" s="200"/>
      <c r="G90" s="202"/>
    </row>
    <row r="91" spans="2:7" ht="15" customHeight="1" x14ac:dyDescent="0.2">
      <c r="B91" s="199"/>
      <c r="C91" s="200"/>
      <c r="D91" s="201"/>
      <c r="E91" s="200"/>
      <c r="F91" s="200"/>
      <c r="G91" s="202"/>
    </row>
    <row r="92" spans="2:7" ht="15" customHeight="1" x14ac:dyDescent="0.2">
      <c r="B92" s="199"/>
      <c r="C92" s="200"/>
      <c r="D92" s="201"/>
      <c r="E92" s="200"/>
      <c r="F92" s="200"/>
      <c r="G92" s="202"/>
    </row>
    <row r="93" spans="2:7" ht="15" customHeight="1" x14ac:dyDescent="0.2">
      <c r="B93" s="199"/>
      <c r="C93" s="200"/>
      <c r="D93" s="201"/>
      <c r="E93" s="200"/>
      <c r="F93" s="200"/>
      <c r="G93" s="202"/>
    </row>
    <row r="94" spans="2:7" ht="15" customHeight="1" x14ac:dyDescent="0.2">
      <c r="B94" s="199"/>
      <c r="C94" s="200"/>
      <c r="D94" s="201"/>
      <c r="E94" s="200"/>
      <c r="F94" s="200"/>
      <c r="G94" s="202"/>
    </row>
    <row r="95" spans="2:7" ht="15" customHeight="1" x14ac:dyDescent="0.2">
      <c r="B95" s="199"/>
      <c r="C95" s="200"/>
      <c r="D95" s="201"/>
      <c r="E95" s="200"/>
      <c r="F95" s="200"/>
      <c r="G95" s="202"/>
    </row>
    <row r="96" spans="2:7" ht="15" customHeight="1" x14ac:dyDescent="0.2">
      <c r="B96" s="199"/>
      <c r="C96" s="200"/>
      <c r="D96" s="201"/>
      <c r="E96" s="200"/>
      <c r="F96" s="200"/>
      <c r="G96" s="202"/>
    </row>
    <row r="97" spans="2:7" ht="15" customHeight="1" x14ac:dyDescent="0.2">
      <c r="B97" s="199"/>
      <c r="C97" s="200"/>
      <c r="D97" s="201"/>
      <c r="E97" s="200"/>
      <c r="F97" s="200"/>
      <c r="G97" s="202"/>
    </row>
    <row r="98" spans="2:7" ht="15" customHeight="1" x14ac:dyDescent="0.2">
      <c r="B98" s="199"/>
      <c r="C98" s="200"/>
      <c r="D98" s="201"/>
      <c r="E98" s="200"/>
      <c r="F98" s="200"/>
      <c r="G98" s="202"/>
    </row>
    <row r="99" spans="2:7" ht="15" customHeight="1" x14ac:dyDescent="0.2">
      <c r="B99" s="199"/>
      <c r="C99" s="200"/>
      <c r="D99" s="201"/>
      <c r="E99" s="200"/>
      <c r="F99" s="200"/>
      <c r="G99" s="202"/>
    </row>
    <row r="100" spans="2:7" ht="15" customHeight="1" x14ac:dyDescent="0.2">
      <c r="B100" s="199"/>
      <c r="C100" s="200"/>
      <c r="D100" s="201"/>
      <c r="E100" s="200"/>
      <c r="F100" s="200"/>
      <c r="G100" s="202"/>
    </row>
    <row r="101" spans="2:7" ht="15" customHeight="1" x14ac:dyDescent="0.2">
      <c r="B101" s="199"/>
      <c r="C101" s="200"/>
      <c r="D101" s="201"/>
      <c r="E101" s="200"/>
      <c r="F101" s="200"/>
      <c r="G101" s="202"/>
    </row>
    <row r="102" spans="2:7" ht="15" customHeight="1" x14ac:dyDescent="0.2">
      <c r="B102" s="199"/>
      <c r="C102" s="200"/>
      <c r="D102" s="201"/>
      <c r="E102" s="200"/>
      <c r="F102" s="200"/>
      <c r="G102" s="202"/>
    </row>
    <row r="103" spans="2:7" ht="15" customHeight="1" x14ac:dyDescent="0.2">
      <c r="B103" s="199"/>
      <c r="C103" s="200"/>
      <c r="D103" s="201"/>
      <c r="E103" s="200"/>
      <c r="F103" s="200"/>
      <c r="G103" s="202"/>
    </row>
    <row r="104" spans="2:7" ht="15" customHeight="1" x14ac:dyDescent="0.2">
      <c r="B104" s="199"/>
      <c r="C104" s="200"/>
      <c r="D104" s="201"/>
      <c r="E104" s="200"/>
      <c r="F104" s="200"/>
      <c r="G104" s="202"/>
    </row>
    <row r="105" spans="2:7" ht="15" customHeight="1" x14ac:dyDescent="0.2">
      <c r="B105" s="199"/>
      <c r="C105" s="200"/>
      <c r="D105" s="201"/>
      <c r="E105" s="200"/>
      <c r="F105" s="200"/>
      <c r="G105" s="202"/>
    </row>
    <row r="106" spans="2:7" ht="15" customHeight="1" x14ac:dyDescent="0.2">
      <c r="B106" s="199"/>
      <c r="C106" s="200"/>
      <c r="D106" s="201"/>
      <c r="E106" s="200"/>
      <c r="F106" s="200"/>
      <c r="G106" s="202"/>
    </row>
    <row r="107" spans="2:7" ht="15" customHeight="1" x14ac:dyDescent="0.2">
      <c r="B107" s="199"/>
      <c r="C107" s="200"/>
      <c r="D107" s="201"/>
      <c r="E107" s="200"/>
      <c r="F107" s="200"/>
      <c r="G107" s="202"/>
    </row>
    <row r="108" spans="2:7" ht="15" customHeight="1" x14ac:dyDescent="0.2">
      <c r="B108" s="199"/>
      <c r="C108" s="200"/>
      <c r="D108" s="201"/>
      <c r="E108" s="200"/>
      <c r="F108" s="200"/>
      <c r="G108" s="202"/>
    </row>
    <row r="109" spans="2:7" ht="15" customHeight="1" x14ac:dyDescent="0.2">
      <c r="B109" s="199"/>
      <c r="C109" s="200"/>
      <c r="D109" s="201"/>
      <c r="E109" s="200"/>
      <c r="F109" s="200"/>
      <c r="G109" s="202"/>
    </row>
    <row r="110" spans="2:7" ht="15" customHeight="1" x14ac:dyDescent="0.2">
      <c r="B110" s="199"/>
      <c r="C110" s="200"/>
      <c r="D110" s="201"/>
      <c r="E110" s="200"/>
      <c r="F110" s="200"/>
      <c r="G110" s="202"/>
    </row>
    <row r="111" spans="2:7" ht="15" customHeight="1" x14ac:dyDescent="0.2">
      <c r="B111" s="199"/>
      <c r="C111" s="200"/>
      <c r="D111" s="201"/>
      <c r="E111" s="200"/>
      <c r="F111" s="200"/>
      <c r="G111" s="202"/>
    </row>
    <row r="112" spans="2:7" ht="15" customHeight="1" x14ac:dyDescent="0.2">
      <c r="B112" s="199"/>
      <c r="C112" s="200"/>
      <c r="D112" s="201"/>
      <c r="E112" s="200"/>
      <c r="F112" s="200"/>
      <c r="G112" s="202"/>
    </row>
    <row r="113" spans="2:7" ht="15" customHeight="1" x14ac:dyDescent="0.2">
      <c r="B113" s="199"/>
      <c r="C113" s="200"/>
      <c r="D113" s="201"/>
      <c r="E113" s="200"/>
      <c r="F113" s="200"/>
      <c r="G113" s="202"/>
    </row>
    <row r="114" spans="2:7" ht="15" customHeight="1" x14ac:dyDescent="0.2">
      <c r="B114" s="199"/>
      <c r="C114" s="200"/>
      <c r="D114" s="201"/>
      <c r="E114" s="200"/>
      <c r="F114" s="200"/>
      <c r="G114" s="202"/>
    </row>
    <row r="115" spans="2:7" ht="15" customHeight="1" x14ac:dyDescent="0.2">
      <c r="B115" s="199"/>
      <c r="C115" s="200"/>
      <c r="D115" s="201"/>
      <c r="E115" s="200"/>
      <c r="F115" s="200"/>
      <c r="G115" s="202"/>
    </row>
    <row r="116" spans="2:7" ht="15" customHeight="1" x14ac:dyDescent="0.2">
      <c r="B116" s="199"/>
      <c r="C116" s="200"/>
      <c r="D116" s="201"/>
      <c r="E116" s="200"/>
      <c r="F116" s="200"/>
      <c r="G116" s="202"/>
    </row>
    <row r="117" spans="2:7" ht="15" customHeight="1" x14ac:dyDescent="0.2">
      <c r="B117" s="199"/>
      <c r="C117" s="200"/>
      <c r="D117" s="201"/>
      <c r="E117" s="200"/>
      <c r="F117" s="200"/>
      <c r="G117" s="202"/>
    </row>
    <row r="118" spans="2:7" ht="15" customHeight="1" x14ac:dyDescent="0.2">
      <c r="B118" s="199"/>
      <c r="C118" s="200"/>
      <c r="D118" s="201"/>
      <c r="E118" s="200"/>
      <c r="F118" s="200"/>
      <c r="G118" s="202"/>
    </row>
    <row r="119" spans="2:7" ht="15" customHeight="1" x14ac:dyDescent="0.2">
      <c r="B119" s="199"/>
      <c r="C119" s="200"/>
      <c r="D119" s="201"/>
      <c r="E119" s="200"/>
      <c r="F119" s="200"/>
      <c r="G119" s="202"/>
    </row>
    <row r="120" spans="2:7" ht="15" customHeight="1" x14ac:dyDescent="0.2">
      <c r="B120" s="199"/>
      <c r="C120" s="200"/>
      <c r="D120" s="201"/>
      <c r="E120" s="200"/>
      <c r="F120" s="200"/>
      <c r="G120" s="202"/>
    </row>
    <row r="121" spans="2:7" ht="15" customHeight="1" x14ac:dyDescent="0.2">
      <c r="B121" s="199"/>
      <c r="C121" s="200"/>
      <c r="D121" s="201"/>
      <c r="E121" s="200"/>
      <c r="F121" s="200"/>
      <c r="G121" s="202"/>
    </row>
    <row r="122" spans="2:7" ht="15" customHeight="1" x14ac:dyDescent="0.2">
      <c r="B122" s="199"/>
      <c r="C122" s="200"/>
      <c r="D122" s="201"/>
      <c r="E122" s="200"/>
      <c r="F122" s="200"/>
      <c r="G122" s="202"/>
    </row>
    <row r="123" spans="2:7" ht="15" customHeight="1" x14ac:dyDescent="0.2">
      <c r="B123" s="199"/>
      <c r="C123" s="200"/>
      <c r="D123" s="201"/>
      <c r="E123" s="200"/>
      <c r="F123" s="200"/>
      <c r="G123" s="202"/>
    </row>
    <row r="124" spans="2:7" ht="15" customHeight="1" x14ac:dyDescent="0.2">
      <c r="B124" s="199"/>
      <c r="C124" s="200"/>
      <c r="D124" s="201"/>
      <c r="E124" s="200"/>
      <c r="F124" s="200"/>
      <c r="G124" s="202"/>
    </row>
    <row r="125" spans="2:7" ht="15" customHeight="1" x14ac:dyDescent="0.2">
      <c r="B125" s="199"/>
      <c r="C125" s="200"/>
      <c r="D125" s="201"/>
      <c r="E125" s="200"/>
      <c r="F125" s="200"/>
      <c r="G125" s="202"/>
    </row>
    <row r="126" spans="2:7" ht="15" customHeight="1" x14ac:dyDescent="0.2">
      <c r="B126" s="199"/>
      <c r="C126" s="200"/>
      <c r="D126" s="201"/>
      <c r="E126" s="200"/>
      <c r="F126" s="200"/>
      <c r="G126" s="202"/>
    </row>
    <row r="127" spans="2:7" ht="15" customHeight="1" x14ac:dyDescent="0.2">
      <c r="B127" s="199"/>
      <c r="C127" s="200"/>
      <c r="D127" s="201"/>
      <c r="E127" s="200"/>
      <c r="F127" s="200"/>
      <c r="G127" s="202"/>
    </row>
    <row r="128" spans="2:7" ht="15" customHeight="1" x14ac:dyDescent="0.2">
      <c r="B128" s="199"/>
      <c r="C128" s="200"/>
      <c r="D128" s="201"/>
      <c r="E128" s="200"/>
      <c r="F128" s="200"/>
      <c r="G128" s="202"/>
    </row>
    <row r="129" spans="2:7" ht="15" customHeight="1" x14ac:dyDescent="0.2">
      <c r="B129" s="199"/>
      <c r="C129" s="200"/>
      <c r="D129" s="201"/>
      <c r="E129" s="200"/>
      <c r="F129" s="200"/>
      <c r="G129" s="202"/>
    </row>
    <row r="130" spans="2:7" ht="15" customHeight="1" x14ac:dyDescent="0.2">
      <c r="B130" s="199"/>
      <c r="C130" s="200"/>
      <c r="D130" s="201"/>
      <c r="E130" s="200"/>
      <c r="F130" s="200"/>
      <c r="G130" s="202"/>
    </row>
    <row r="131" spans="2:7" ht="15" customHeight="1" x14ac:dyDescent="0.2">
      <c r="B131" s="199"/>
      <c r="C131" s="200"/>
      <c r="D131" s="201"/>
      <c r="E131" s="200"/>
      <c r="F131" s="200"/>
      <c r="G131" s="202"/>
    </row>
    <row r="132" spans="2:7" ht="15" customHeight="1" x14ac:dyDescent="0.2">
      <c r="B132" s="199"/>
      <c r="C132" s="200"/>
      <c r="D132" s="201"/>
      <c r="E132" s="200"/>
      <c r="F132" s="200"/>
      <c r="G132" s="202"/>
    </row>
    <row r="133" spans="2:7" ht="15" customHeight="1" x14ac:dyDescent="0.2">
      <c r="B133" s="199"/>
      <c r="C133" s="200"/>
      <c r="D133" s="201"/>
      <c r="E133" s="200"/>
      <c r="F133" s="200"/>
      <c r="G133" s="202"/>
    </row>
    <row r="134" spans="2:7" ht="15" customHeight="1" x14ac:dyDescent="0.2">
      <c r="B134" s="199"/>
      <c r="C134" s="200"/>
      <c r="D134" s="201"/>
      <c r="E134" s="200"/>
      <c r="F134" s="200"/>
      <c r="G134" s="202"/>
    </row>
    <row r="135" spans="2:7" ht="15" customHeight="1" x14ac:dyDescent="0.2">
      <c r="B135" s="199"/>
      <c r="C135" s="200"/>
      <c r="D135" s="201"/>
      <c r="E135" s="200"/>
      <c r="F135" s="200"/>
      <c r="G135" s="202"/>
    </row>
    <row r="136" spans="2:7" ht="15" customHeight="1" x14ac:dyDescent="0.2">
      <c r="B136" s="199"/>
      <c r="C136" s="200"/>
      <c r="D136" s="201"/>
      <c r="E136" s="200"/>
      <c r="F136" s="200"/>
      <c r="G136" s="202"/>
    </row>
    <row r="137" spans="2:7" ht="15" customHeight="1" x14ac:dyDescent="0.2">
      <c r="B137" s="199"/>
      <c r="C137" s="200"/>
      <c r="D137" s="201"/>
      <c r="E137" s="200"/>
      <c r="F137" s="200"/>
      <c r="G137" s="202"/>
    </row>
    <row r="138" spans="2:7" ht="15" customHeight="1" x14ac:dyDescent="0.2">
      <c r="B138" s="199"/>
      <c r="C138" s="200"/>
      <c r="D138" s="201"/>
      <c r="E138" s="200"/>
      <c r="F138" s="200"/>
      <c r="G138" s="202"/>
    </row>
    <row r="139" spans="2:7" ht="15" customHeight="1" x14ac:dyDescent="0.2">
      <c r="B139" s="199"/>
      <c r="C139" s="200"/>
      <c r="D139" s="201"/>
      <c r="E139" s="200"/>
      <c r="F139" s="200"/>
      <c r="G139" s="202"/>
    </row>
    <row r="140" spans="2:7" ht="15" customHeight="1" x14ac:dyDescent="0.2">
      <c r="B140" s="199"/>
      <c r="C140" s="200"/>
      <c r="D140" s="201"/>
      <c r="E140" s="200"/>
      <c r="F140" s="200"/>
      <c r="G140" s="202"/>
    </row>
    <row r="141" spans="2:7" ht="15" customHeight="1" x14ac:dyDescent="0.2">
      <c r="B141" s="199"/>
      <c r="C141" s="200"/>
      <c r="D141" s="201"/>
      <c r="E141" s="200"/>
      <c r="F141" s="200"/>
      <c r="G141" s="202"/>
    </row>
    <row r="142" spans="2:7" ht="15" customHeight="1" x14ac:dyDescent="0.2">
      <c r="B142" s="199"/>
      <c r="C142" s="200"/>
      <c r="D142" s="201"/>
      <c r="E142" s="200"/>
      <c r="F142" s="200"/>
      <c r="G142" s="202"/>
    </row>
    <row r="143" spans="2:7" ht="15" customHeight="1" x14ac:dyDescent="0.2">
      <c r="B143" s="199"/>
      <c r="C143" s="200"/>
      <c r="D143" s="201"/>
      <c r="E143" s="200"/>
      <c r="F143" s="200"/>
      <c r="G143" s="202"/>
    </row>
    <row r="144" spans="2:7" ht="15" customHeight="1" x14ac:dyDescent="0.2">
      <c r="B144" s="199"/>
      <c r="C144" s="200"/>
      <c r="D144" s="201"/>
      <c r="E144" s="200"/>
      <c r="F144" s="200"/>
      <c r="G144" s="202"/>
    </row>
    <row r="145" spans="2:7" ht="15" customHeight="1" x14ac:dyDescent="0.2">
      <c r="B145" s="199"/>
      <c r="C145" s="200"/>
      <c r="D145" s="201"/>
      <c r="E145" s="200"/>
      <c r="F145" s="200"/>
      <c r="G145" s="202"/>
    </row>
    <row r="146" spans="2:7" ht="15" customHeight="1" x14ac:dyDescent="0.2">
      <c r="B146" s="199"/>
      <c r="C146" s="200"/>
      <c r="D146" s="201"/>
      <c r="E146" s="200"/>
      <c r="F146" s="200"/>
      <c r="G146" s="202"/>
    </row>
    <row r="147" spans="2:7" ht="15" customHeight="1" x14ac:dyDescent="0.2">
      <c r="B147" s="199"/>
      <c r="C147" s="200"/>
      <c r="D147" s="201"/>
      <c r="E147" s="200"/>
      <c r="F147" s="200"/>
      <c r="G147" s="202"/>
    </row>
    <row r="148" spans="2:7" ht="15" customHeight="1" x14ac:dyDescent="0.2">
      <c r="B148" s="199"/>
      <c r="C148" s="200"/>
      <c r="D148" s="201"/>
      <c r="E148" s="200"/>
      <c r="F148" s="200"/>
      <c r="G148" s="202"/>
    </row>
    <row r="149" spans="2:7" ht="15" customHeight="1" x14ac:dyDescent="0.2">
      <c r="B149" s="199"/>
      <c r="C149" s="200"/>
      <c r="D149" s="201"/>
      <c r="E149" s="200"/>
      <c r="F149" s="200"/>
      <c r="G149" s="202"/>
    </row>
    <row r="150" spans="2:7" ht="15" customHeight="1" x14ac:dyDescent="0.2">
      <c r="B150" s="199"/>
      <c r="C150" s="200"/>
      <c r="D150" s="201"/>
      <c r="E150" s="200"/>
      <c r="F150" s="200"/>
      <c r="G150" s="202"/>
    </row>
    <row r="151" spans="2:7" ht="15" customHeight="1" x14ac:dyDescent="0.2">
      <c r="B151" s="199"/>
      <c r="C151" s="200"/>
      <c r="D151" s="201"/>
      <c r="E151" s="200"/>
      <c r="F151" s="200"/>
      <c r="G151" s="202"/>
    </row>
    <row r="152" spans="2:7" ht="15" customHeight="1" x14ac:dyDescent="0.2">
      <c r="B152" s="199"/>
      <c r="C152" s="200"/>
      <c r="D152" s="201"/>
      <c r="E152" s="200"/>
      <c r="F152" s="200"/>
      <c r="G152" s="202"/>
    </row>
    <row r="153" spans="2:7" ht="15" customHeight="1" x14ac:dyDescent="0.2">
      <c r="B153" s="199"/>
      <c r="C153" s="200"/>
      <c r="D153" s="201"/>
      <c r="E153" s="200"/>
      <c r="F153" s="200"/>
      <c r="G153" s="202"/>
    </row>
    <row r="154" spans="2:7" ht="15" customHeight="1" x14ac:dyDescent="0.2">
      <c r="B154" s="199"/>
      <c r="C154" s="200"/>
      <c r="D154" s="201"/>
      <c r="E154" s="200"/>
      <c r="F154" s="200"/>
      <c r="G154" s="202"/>
    </row>
    <row r="155" spans="2:7" ht="15" customHeight="1" x14ac:dyDescent="0.2">
      <c r="B155" s="199"/>
      <c r="C155" s="200"/>
      <c r="D155" s="201"/>
      <c r="E155" s="200"/>
      <c r="F155" s="200"/>
      <c r="G155" s="202"/>
    </row>
    <row r="156" spans="2:7" ht="15" customHeight="1" x14ac:dyDescent="0.2">
      <c r="B156" s="199"/>
      <c r="C156" s="200"/>
      <c r="D156" s="201"/>
      <c r="E156" s="200"/>
      <c r="F156" s="200"/>
      <c r="G156" s="202"/>
    </row>
    <row r="157" spans="2:7" ht="15" customHeight="1" x14ac:dyDescent="0.2">
      <c r="B157" s="199"/>
      <c r="C157" s="200"/>
      <c r="D157" s="201"/>
      <c r="E157" s="200"/>
      <c r="F157" s="200"/>
      <c r="G157" s="202"/>
    </row>
    <row r="158" spans="2:7" ht="15" customHeight="1" x14ac:dyDescent="0.2">
      <c r="B158" s="199"/>
      <c r="C158" s="200"/>
      <c r="D158" s="201"/>
      <c r="E158" s="200"/>
      <c r="F158" s="200"/>
      <c r="G158" s="202"/>
    </row>
    <row r="159" spans="2:7" ht="15" customHeight="1" x14ac:dyDescent="0.2">
      <c r="B159" s="199"/>
      <c r="C159" s="200"/>
      <c r="D159" s="201"/>
      <c r="E159" s="200"/>
      <c r="F159" s="200"/>
      <c r="G159" s="202"/>
    </row>
    <row r="160" spans="2:7" ht="15" customHeight="1" x14ac:dyDescent="0.2">
      <c r="B160" s="199"/>
      <c r="C160" s="200"/>
      <c r="D160" s="201"/>
      <c r="E160" s="200"/>
      <c r="F160" s="200"/>
      <c r="G160" s="202"/>
    </row>
    <row r="161" spans="2:7" ht="15" customHeight="1" x14ac:dyDescent="0.2">
      <c r="B161" s="199"/>
      <c r="C161" s="200"/>
      <c r="D161" s="201"/>
      <c r="E161" s="200"/>
      <c r="F161" s="200"/>
      <c r="G161" s="202"/>
    </row>
    <row r="162" spans="2:7" ht="15" customHeight="1" x14ac:dyDescent="0.2">
      <c r="B162" s="199"/>
      <c r="C162" s="200"/>
      <c r="D162" s="201"/>
      <c r="E162" s="200"/>
      <c r="F162" s="200"/>
      <c r="G162" s="202"/>
    </row>
    <row r="163" spans="2:7" ht="15" customHeight="1" x14ac:dyDescent="0.2">
      <c r="B163" s="199"/>
      <c r="C163" s="200"/>
      <c r="D163" s="201"/>
      <c r="E163" s="200"/>
      <c r="F163" s="200"/>
      <c r="G163" s="202"/>
    </row>
    <row r="164" spans="2:7" ht="15" customHeight="1" x14ac:dyDescent="0.2">
      <c r="B164" s="199"/>
      <c r="C164" s="200"/>
      <c r="D164" s="201"/>
      <c r="E164" s="200"/>
      <c r="F164" s="200"/>
      <c r="G164" s="202"/>
    </row>
    <row r="165" spans="2:7" ht="15" customHeight="1" x14ac:dyDescent="0.2">
      <c r="B165" s="199"/>
      <c r="C165" s="200"/>
      <c r="D165" s="201"/>
      <c r="E165" s="200"/>
      <c r="F165" s="200"/>
      <c r="G165" s="202"/>
    </row>
    <row r="166" spans="2:7" ht="15" customHeight="1" x14ac:dyDescent="0.2">
      <c r="B166" s="199"/>
      <c r="C166" s="200"/>
      <c r="D166" s="201"/>
      <c r="E166" s="200"/>
      <c r="F166" s="200"/>
      <c r="G166" s="202"/>
    </row>
    <row r="167" spans="2:7" ht="15" customHeight="1" x14ac:dyDescent="0.2">
      <c r="B167" s="199"/>
      <c r="C167" s="200"/>
      <c r="D167" s="201"/>
      <c r="E167" s="200"/>
      <c r="F167" s="200"/>
      <c r="G167" s="202"/>
    </row>
    <row r="168" spans="2:7" ht="15" customHeight="1" x14ac:dyDescent="0.2">
      <c r="B168" s="199"/>
      <c r="C168" s="200"/>
      <c r="D168" s="201"/>
      <c r="E168" s="200"/>
      <c r="F168" s="200"/>
      <c r="G168" s="202"/>
    </row>
    <row r="169" spans="2:7" ht="15" customHeight="1" x14ac:dyDescent="0.2">
      <c r="B169" s="199"/>
      <c r="C169" s="200"/>
      <c r="D169" s="201"/>
      <c r="E169" s="200"/>
      <c r="F169" s="200"/>
      <c r="G169" s="202"/>
    </row>
    <row r="170" spans="2:7" ht="15" customHeight="1" x14ac:dyDescent="0.2">
      <c r="B170" s="199"/>
      <c r="C170" s="200"/>
      <c r="D170" s="201"/>
      <c r="E170" s="200"/>
      <c r="F170" s="200"/>
      <c r="G170" s="202"/>
    </row>
    <row r="171" spans="2:7" ht="15" customHeight="1" x14ac:dyDescent="0.2">
      <c r="B171" s="199"/>
      <c r="C171" s="200"/>
      <c r="D171" s="201"/>
      <c r="E171" s="200"/>
      <c r="F171" s="200"/>
      <c r="G171" s="202"/>
    </row>
    <row r="172" spans="2:7" ht="15" customHeight="1" x14ac:dyDescent="0.2">
      <c r="B172" s="199"/>
      <c r="C172" s="200"/>
      <c r="D172" s="201"/>
      <c r="E172" s="200"/>
      <c r="F172" s="200"/>
      <c r="G172" s="202"/>
    </row>
    <row r="173" spans="2:7" ht="15" customHeight="1" x14ac:dyDescent="0.2">
      <c r="B173" s="199"/>
      <c r="C173" s="200"/>
      <c r="D173" s="201"/>
      <c r="E173" s="200"/>
      <c r="F173" s="200"/>
      <c r="G173" s="202"/>
    </row>
    <row r="174" spans="2:7" ht="15" customHeight="1" x14ac:dyDescent="0.2">
      <c r="B174" s="199"/>
      <c r="C174" s="200"/>
      <c r="D174" s="201"/>
      <c r="E174" s="200"/>
      <c r="F174" s="200"/>
      <c r="G174" s="202"/>
    </row>
    <row r="175" spans="2:7" ht="15" customHeight="1" x14ac:dyDescent="0.2">
      <c r="B175" s="199"/>
      <c r="C175" s="200"/>
      <c r="D175" s="201"/>
      <c r="E175" s="200"/>
      <c r="F175" s="200"/>
      <c r="G175" s="202"/>
    </row>
    <row r="176" spans="2:7" ht="15" customHeight="1" x14ac:dyDescent="0.2">
      <c r="B176" s="199"/>
      <c r="C176" s="200"/>
      <c r="D176" s="201"/>
      <c r="E176" s="200"/>
      <c r="F176" s="200"/>
      <c r="G176" s="202"/>
    </row>
    <row r="177" spans="2:7" ht="15" customHeight="1" x14ac:dyDescent="0.2">
      <c r="B177" s="199"/>
      <c r="C177" s="200"/>
      <c r="D177" s="201"/>
      <c r="E177" s="200"/>
      <c r="F177" s="200"/>
      <c r="G177" s="202"/>
    </row>
    <row r="178" spans="2:7" ht="15" customHeight="1" x14ac:dyDescent="0.2">
      <c r="B178" s="199"/>
      <c r="C178" s="200"/>
      <c r="D178" s="201"/>
      <c r="E178" s="200"/>
      <c r="F178" s="200"/>
      <c r="G178" s="202"/>
    </row>
    <row r="179" spans="2:7" ht="15" customHeight="1" x14ac:dyDescent="0.2">
      <c r="B179" s="199"/>
      <c r="C179" s="200"/>
      <c r="D179" s="201"/>
      <c r="E179" s="200"/>
      <c r="F179" s="200"/>
      <c r="G179" s="202"/>
    </row>
    <row r="180" spans="2:7" ht="15" customHeight="1" x14ac:dyDescent="0.2">
      <c r="B180" s="199"/>
      <c r="C180" s="200"/>
      <c r="D180" s="201"/>
      <c r="E180" s="200"/>
      <c r="F180" s="200"/>
      <c r="G180" s="202"/>
    </row>
    <row r="181" spans="2:7" ht="15" customHeight="1" x14ac:dyDescent="0.2">
      <c r="B181" s="199"/>
      <c r="C181" s="200"/>
      <c r="D181" s="201"/>
      <c r="E181" s="200"/>
      <c r="F181" s="200"/>
      <c r="G181" s="202"/>
    </row>
    <row r="182" spans="2:7" ht="15" customHeight="1" x14ac:dyDescent="0.2">
      <c r="B182" s="203"/>
      <c r="C182" s="204"/>
      <c r="D182" s="205"/>
      <c r="E182" s="204"/>
      <c r="F182" s="204"/>
      <c r="G182" s="206"/>
    </row>
    <row r="183" spans="2:7" ht="15" customHeight="1" x14ac:dyDescent="0.2">
      <c r="B183" s="203"/>
      <c r="C183" s="204"/>
      <c r="D183" s="205"/>
      <c r="E183" s="204"/>
      <c r="F183" s="204"/>
      <c r="G183" s="206"/>
    </row>
    <row r="184" spans="2:7" ht="15" customHeight="1" x14ac:dyDescent="0.2">
      <c r="B184" s="203"/>
      <c r="C184" s="204"/>
      <c r="D184" s="205"/>
      <c r="E184" s="204"/>
      <c r="F184" s="204"/>
      <c r="G184" s="206"/>
    </row>
    <row r="185" spans="2:7" ht="15" customHeight="1" x14ac:dyDescent="0.2">
      <c r="B185" s="203"/>
      <c r="C185" s="204"/>
      <c r="D185" s="205"/>
      <c r="E185" s="204"/>
      <c r="F185" s="204"/>
      <c r="G185" s="206"/>
    </row>
    <row r="186" spans="2:7" ht="15" customHeight="1" x14ac:dyDescent="0.2">
      <c r="B186" s="203"/>
      <c r="C186" s="204"/>
      <c r="D186" s="205"/>
      <c r="E186" s="204"/>
      <c r="F186" s="204"/>
      <c r="G186" s="206"/>
    </row>
    <row r="187" spans="2:7" ht="15" customHeight="1" x14ac:dyDescent="0.2">
      <c r="B187" s="203"/>
      <c r="C187" s="204"/>
      <c r="D187" s="205"/>
      <c r="E187" s="204"/>
      <c r="F187" s="204"/>
      <c r="G187" s="206"/>
    </row>
    <row r="188" spans="2:7" ht="15" customHeight="1" x14ac:dyDescent="0.2">
      <c r="B188" s="203"/>
      <c r="C188" s="204"/>
      <c r="D188" s="205"/>
      <c r="E188" s="204"/>
      <c r="F188" s="204"/>
      <c r="G188" s="206"/>
    </row>
    <row r="189" spans="2:7" ht="15" customHeight="1" x14ac:dyDescent="0.2">
      <c r="B189" s="203"/>
      <c r="C189" s="204"/>
      <c r="D189" s="205"/>
      <c r="E189" s="204"/>
      <c r="F189" s="204"/>
      <c r="G189" s="206"/>
    </row>
    <row r="190" spans="2:7" ht="15" customHeight="1" x14ac:dyDescent="0.2">
      <c r="B190" s="203"/>
      <c r="C190" s="204"/>
      <c r="D190" s="205"/>
      <c r="E190" s="204"/>
      <c r="F190" s="204"/>
      <c r="G190" s="206"/>
    </row>
    <row r="191" spans="2:7" ht="15" customHeight="1" x14ac:dyDescent="0.2">
      <c r="B191" s="203"/>
      <c r="C191" s="204"/>
      <c r="D191" s="205"/>
      <c r="E191" s="204"/>
      <c r="F191" s="204"/>
      <c r="G191" s="206"/>
    </row>
    <row r="192" spans="2:7" ht="15" customHeight="1" x14ac:dyDescent="0.2">
      <c r="B192" s="203"/>
      <c r="C192" s="204"/>
      <c r="D192" s="205"/>
      <c r="E192" s="204"/>
      <c r="F192" s="204"/>
      <c r="G192" s="206"/>
    </row>
    <row r="193" spans="2:7" ht="15" customHeight="1" x14ac:dyDescent="0.2">
      <c r="B193" s="203"/>
      <c r="C193" s="204"/>
      <c r="D193" s="205"/>
      <c r="E193" s="204"/>
      <c r="F193" s="204"/>
      <c r="G193" s="206"/>
    </row>
    <row r="194" spans="2:7" ht="15" customHeight="1" x14ac:dyDescent="0.2">
      <c r="B194" s="203"/>
      <c r="C194" s="204"/>
      <c r="D194" s="205"/>
      <c r="E194" s="204"/>
      <c r="F194" s="204"/>
      <c r="G194" s="206"/>
    </row>
    <row r="195" spans="2:7" ht="15" customHeight="1" x14ac:dyDescent="0.2">
      <c r="B195" s="203"/>
      <c r="C195" s="204"/>
      <c r="D195" s="205"/>
      <c r="E195" s="204"/>
      <c r="F195" s="204"/>
      <c r="G195" s="206"/>
    </row>
    <row r="196" spans="2:7" ht="15" customHeight="1" x14ac:dyDescent="0.2">
      <c r="B196" s="203"/>
      <c r="C196" s="204"/>
      <c r="D196" s="205"/>
      <c r="E196" s="204"/>
      <c r="F196" s="204"/>
      <c r="G196" s="206"/>
    </row>
    <row r="197" spans="2:7" ht="15" customHeight="1" x14ac:dyDescent="0.2">
      <c r="B197" s="203"/>
      <c r="C197" s="204"/>
      <c r="D197" s="205"/>
      <c r="E197" s="204"/>
      <c r="F197" s="204"/>
      <c r="G197" s="206"/>
    </row>
    <row r="198" spans="2:7" ht="15" customHeight="1" x14ac:dyDescent="0.2">
      <c r="B198" s="203"/>
      <c r="C198" s="204"/>
      <c r="D198" s="205"/>
      <c r="E198" s="204"/>
      <c r="F198" s="204"/>
      <c r="G198" s="206"/>
    </row>
    <row r="199" spans="2:7" ht="15" customHeight="1" x14ac:dyDescent="0.2">
      <c r="B199" s="203"/>
      <c r="C199" s="204"/>
      <c r="D199" s="205"/>
      <c r="E199" s="204"/>
      <c r="F199" s="204"/>
      <c r="G199" s="206"/>
    </row>
    <row r="200" spans="2:7" ht="15" customHeight="1" x14ac:dyDescent="0.2">
      <c r="B200" s="203"/>
      <c r="C200" s="204"/>
      <c r="D200" s="205"/>
      <c r="E200" s="204"/>
      <c r="F200" s="204"/>
      <c r="G200" s="206"/>
    </row>
    <row r="201" spans="2:7" ht="15" customHeight="1" x14ac:dyDescent="0.2">
      <c r="B201" s="203"/>
      <c r="C201" s="204"/>
      <c r="D201" s="205"/>
      <c r="E201" s="204"/>
      <c r="F201" s="204"/>
      <c r="G201" s="206"/>
    </row>
    <row r="202" spans="2:7" ht="15" customHeight="1" x14ac:dyDescent="0.2">
      <c r="B202" s="203"/>
      <c r="C202" s="204"/>
      <c r="D202" s="205"/>
      <c r="E202" s="204"/>
      <c r="F202" s="204"/>
      <c r="G202" s="206"/>
    </row>
    <row r="203" spans="2:7" ht="15" customHeight="1" x14ac:dyDescent="0.2">
      <c r="B203" s="203"/>
      <c r="C203" s="204"/>
      <c r="D203" s="205"/>
      <c r="E203" s="204"/>
      <c r="F203" s="204"/>
      <c r="G203" s="206"/>
    </row>
    <row r="204" spans="2:7" ht="15" customHeight="1" x14ac:dyDescent="0.2">
      <c r="B204" s="203"/>
      <c r="C204" s="204"/>
      <c r="D204" s="205"/>
      <c r="E204" s="204"/>
      <c r="F204" s="204"/>
      <c r="G204" s="206"/>
    </row>
    <row r="205" spans="2:7" ht="15" customHeight="1" x14ac:dyDescent="0.2">
      <c r="B205" s="203"/>
      <c r="C205" s="204"/>
      <c r="D205" s="205"/>
      <c r="E205" s="204"/>
      <c r="F205" s="204"/>
      <c r="G205" s="206"/>
    </row>
    <row r="206" spans="2:7" ht="15" customHeight="1" x14ac:dyDescent="0.2">
      <c r="B206" s="203"/>
      <c r="C206" s="204"/>
      <c r="D206" s="205"/>
      <c r="E206" s="204"/>
      <c r="F206" s="204"/>
      <c r="G206" s="206"/>
    </row>
    <row r="207" spans="2:7" ht="15" customHeight="1" x14ac:dyDescent="0.2">
      <c r="B207" s="203"/>
      <c r="C207" s="204"/>
      <c r="D207" s="205"/>
      <c r="E207" s="204"/>
      <c r="F207" s="204"/>
      <c r="G207" s="206"/>
    </row>
    <row r="208" spans="2:7" ht="15" customHeight="1" x14ac:dyDescent="0.2">
      <c r="B208" s="203"/>
      <c r="C208" s="204"/>
      <c r="D208" s="205"/>
      <c r="E208" s="204"/>
      <c r="F208" s="204"/>
      <c r="G208" s="206"/>
    </row>
    <row r="209" spans="2:7" ht="15" customHeight="1" x14ac:dyDescent="0.2">
      <c r="B209" s="203"/>
      <c r="C209" s="204"/>
      <c r="D209" s="205"/>
      <c r="E209" s="204"/>
      <c r="F209" s="204"/>
      <c r="G209" s="206"/>
    </row>
    <row r="210" spans="2:7" ht="15" customHeight="1" x14ac:dyDescent="0.2">
      <c r="B210" s="203"/>
      <c r="C210" s="204"/>
      <c r="D210" s="205"/>
      <c r="E210" s="204"/>
      <c r="F210" s="204"/>
      <c r="G210" s="206"/>
    </row>
    <row r="211" spans="2:7" ht="15" customHeight="1" x14ac:dyDescent="0.2">
      <c r="B211" s="203"/>
      <c r="C211" s="204"/>
      <c r="D211" s="205"/>
      <c r="E211" s="204"/>
      <c r="F211" s="204"/>
      <c r="G211" s="206"/>
    </row>
    <row r="212" spans="2:7" ht="15" customHeight="1" x14ac:dyDescent="0.2">
      <c r="B212" s="203"/>
      <c r="C212" s="204"/>
      <c r="D212" s="205"/>
      <c r="E212" s="204"/>
      <c r="F212" s="204"/>
      <c r="G212" s="206"/>
    </row>
    <row r="213" spans="2:7" ht="15" customHeight="1" x14ac:dyDescent="0.2">
      <c r="B213" s="203"/>
      <c r="C213" s="204"/>
      <c r="D213" s="205"/>
      <c r="E213" s="204"/>
      <c r="F213" s="204"/>
      <c r="G213" s="206"/>
    </row>
    <row r="214" spans="2:7" ht="15" customHeight="1" x14ac:dyDescent="0.2">
      <c r="B214" s="203"/>
      <c r="C214" s="204"/>
      <c r="D214" s="205"/>
      <c r="E214" s="204"/>
      <c r="F214" s="204"/>
      <c r="G214" s="206"/>
    </row>
    <row r="215" spans="2:7" ht="15" customHeight="1" x14ac:dyDescent="0.2">
      <c r="B215" s="203"/>
      <c r="C215" s="204"/>
      <c r="D215" s="205"/>
      <c r="E215" s="204"/>
      <c r="F215" s="204"/>
      <c r="G215" s="206"/>
    </row>
    <row r="216" spans="2:7" ht="15" customHeight="1" x14ac:dyDescent="0.2">
      <c r="B216" s="203"/>
      <c r="C216" s="204"/>
      <c r="D216" s="205"/>
      <c r="E216" s="204"/>
      <c r="F216" s="204"/>
      <c r="G216" s="206"/>
    </row>
    <row r="217" spans="2:7" ht="15" customHeight="1" x14ac:dyDescent="0.2">
      <c r="B217" s="203"/>
      <c r="C217" s="204"/>
      <c r="D217" s="205"/>
      <c r="E217" s="204"/>
      <c r="F217" s="204"/>
      <c r="G217" s="206"/>
    </row>
    <row r="218" spans="2:7" ht="15" customHeight="1" x14ac:dyDescent="0.2">
      <c r="B218" s="203"/>
      <c r="C218" s="204"/>
      <c r="D218" s="205"/>
      <c r="E218" s="204"/>
      <c r="F218" s="204"/>
      <c r="G218" s="206"/>
    </row>
    <row r="219" spans="2:7" ht="15" customHeight="1" x14ac:dyDescent="0.2">
      <c r="B219" s="203"/>
      <c r="C219" s="204"/>
      <c r="D219" s="205"/>
      <c r="E219" s="204"/>
      <c r="F219" s="204"/>
      <c r="G219" s="206"/>
    </row>
    <row r="220" spans="2:7" ht="15" customHeight="1" x14ac:dyDescent="0.2">
      <c r="B220" s="203"/>
      <c r="C220" s="204"/>
      <c r="D220" s="205"/>
      <c r="E220" s="204"/>
      <c r="F220" s="204"/>
      <c r="G220" s="206"/>
    </row>
    <row r="221" spans="2:7" ht="15" customHeight="1" x14ac:dyDescent="0.2">
      <c r="B221" s="203"/>
      <c r="C221" s="204"/>
      <c r="D221" s="205"/>
      <c r="E221" s="204"/>
      <c r="F221" s="204"/>
      <c r="G221" s="206"/>
    </row>
    <row r="222" spans="2:7" ht="15" customHeight="1" x14ac:dyDescent="0.2">
      <c r="B222" s="203"/>
      <c r="C222" s="204"/>
      <c r="D222" s="205"/>
      <c r="E222" s="204"/>
      <c r="F222" s="204"/>
      <c r="G222" s="206"/>
    </row>
    <row r="223" spans="2:7" ht="15" customHeight="1" x14ac:dyDescent="0.2">
      <c r="B223" s="203"/>
      <c r="C223" s="204"/>
      <c r="D223" s="205"/>
      <c r="E223" s="204"/>
      <c r="F223" s="204"/>
      <c r="G223" s="206"/>
    </row>
    <row r="224" spans="2:7" ht="15" customHeight="1" x14ac:dyDescent="0.2">
      <c r="B224" s="203"/>
      <c r="C224" s="204"/>
      <c r="D224" s="205"/>
      <c r="E224" s="204"/>
      <c r="F224" s="204"/>
      <c r="G224" s="206"/>
    </row>
    <row r="225" spans="2:7" ht="15" customHeight="1" x14ac:dyDescent="0.2">
      <c r="B225" s="203"/>
      <c r="C225" s="204"/>
      <c r="D225" s="205"/>
      <c r="E225" s="204"/>
      <c r="F225" s="204"/>
      <c r="G225" s="206"/>
    </row>
    <row r="226" spans="2:7" ht="15" customHeight="1" x14ac:dyDescent="0.2">
      <c r="B226" s="203"/>
      <c r="C226" s="204"/>
      <c r="D226" s="205"/>
      <c r="E226" s="204"/>
      <c r="F226" s="204"/>
      <c r="G226" s="206"/>
    </row>
    <row r="227" spans="2:7" ht="15" customHeight="1" x14ac:dyDescent="0.2">
      <c r="B227" s="203"/>
      <c r="C227" s="204"/>
      <c r="D227" s="205"/>
      <c r="E227" s="204"/>
      <c r="F227" s="204"/>
      <c r="G227" s="206"/>
    </row>
    <row r="228" spans="2:7" ht="15" customHeight="1" x14ac:dyDescent="0.2">
      <c r="B228" s="203"/>
      <c r="C228" s="204"/>
      <c r="D228" s="205"/>
      <c r="E228" s="204"/>
      <c r="F228" s="204"/>
      <c r="G228" s="206"/>
    </row>
    <row r="229" spans="2:7" ht="15" customHeight="1" x14ac:dyDescent="0.2">
      <c r="B229" s="203"/>
      <c r="C229" s="204"/>
      <c r="D229" s="205"/>
      <c r="E229" s="204"/>
      <c r="F229" s="204"/>
      <c r="G229" s="206"/>
    </row>
    <row r="230" spans="2:7" ht="15" customHeight="1" x14ac:dyDescent="0.2">
      <c r="B230" s="203"/>
      <c r="C230" s="204"/>
      <c r="D230" s="205"/>
      <c r="E230" s="204"/>
      <c r="F230" s="204"/>
      <c r="G230" s="206"/>
    </row>
    <row r="231" spans="2:7" ht="15" customHeight="1" x14ac:dyDescent="0.2">
      <c r="B231" s="203"/>
      <c r="C231" s="204"/>
      <c r="D231" s="205"/>
      <c r="E231" s="204"/>
      <c r="F231" s="204"/>
      <c r="G231" s="206"/>
    </row>
    <row r="232" spans="2:7" ht="15" customHeight="1" x14ac:dyDescent="0.2">
      <c r="B232" s="203"/>
      <c r="C232" s="204"/>
      <c r="D232" s="205"/>
      <c r="E232" s="204"/>
      <c r="F232" s="204"/>
      <c r="G232" s="206"/>
    </row>
    <row r="233" spans="2:7" ht="15" customHeight="1" x14ac:dyDescent="0.2">
      <c r="B233" s="203"/>
      <c r="C233" s="204"/>
      <c r="D233" s="205"/>
      <c r="E233" s="204"/>
      <c r="F233" s="204"/>
      <c r="G233" s="206"/>
    </row>
    <row r="234" spans="2:7" ht="15" customHeight="1" x14ac:dyDescent="0.2">
      <c r="B234" s="203"/>
      <c r="C234" s="204"/>
      <c r="D234" s="205"/>
      <c r="E234" s="204"/>
      <c r="F234" s="204"/>
      <c r="G234" s="206"/>
    </row>
    <row r="235" spans="2:7" ht="15" customHeight="1" x14ac:dyDescent="0.2">
      <c r="B235" s="203"/>
      <c r="C235" s="204"/>
      <c r="D235" s="205"/>
      <c r="E235" s="204"/>
      <c r="F235" s="204"/>
      <c r="G235" s="206"/>
    </row>
    <row r="236" spans="2:7" ht="15" customHeight="1" x14ac:dyDescent="0.2">
      <c r="B236" s="203"/>
      <c r="C236" s="204"/>
      <c r="D236" s="205"/>
      <c r="E236" s="204"/>
      <c r="F236" s="204"/>
      <c r="G236" s="206"/>
    </row>
    <row r="237" spans="2:7" ht="15" customHeight="1" x14ac:dyDescent="0.2">
      <c r="B237" s="203"/>
      <c r="C237" s="204"/>
      <c r="D237" s="205"/>
      <c r="E237" s="204"/>
      <c r="F237" s="204"/>
      <c r="G237" s="206"/>
    </row>
    <row r="238" spans="2:7" ht="15" customHeight="1" x14ac:dyDescent="0.2">
      <c r="B238" s="203"/>
      <c r="C238" s="204"/>
      <c r="D238" s="205"/>
      <c r="E238" s="204"/>
      <c r="F238" s="204"/>
      <c r="G238" s="206"/>
    </row>
    <row r="239" spans="2:7" ht="15" customHeight="1" x14ac:dyDescent="0.2">
      <c r="B239" s="203"/>
      <c r="C239" s="204"/>
      <c r="D239" s="205"/>
      <c r="E239" s="204"/>
      <c r="F239" s="204"/>
      <c r="G239" s="206"/>
    </row>
    <row r="240" spans="2:7" ht="15" customHeight="1" x14ac:dyDescent="0.2">
      <c r="B240" s="203"/>
      <c r="C240" s="204"/>
      <c r="D240" s="205"/>
      <c r="E240" s="204"/>
      <c r="F240" s="204"/>
      <c r="G240" s="206"/>
    </row>
    <row r="241" spans="2:7" ht="15" customHeight="1" x14ac:dyDescent="0.2">
      <c r="B241" s="203"/>
      <c r="C241" s="204"/>
      <c r="D241" s="205"/>
      <c r="E241" s="204"/>
      <c r="F241" s="204"/>
      <c r="G241" s="206"/>
    </row>
    <row r="242" spans="2:7" ht="15" customHeight="1" x14ac:dyDescent="0.2">
      <c r="B242" s="203"/>
      <c r="C242" s="204"/>
      <c r="D242" s="205"/>
      <c r="E242" s="204"/>
      <c r="F242" s="204"/>
      <c r="G242" s="206"/>
    </row>
    <row r="243" spans="2:7" ht="15" customHeight="1" x14ac:dyDescent="0.2">
      <c r="B243" s="203"/>
      <c r="C243" s="204"/>
      <c r="D243" s="205"/>
      <c r="E243" s="204"/>
      <c r="F243" s="204"/>
      <c r="G243" s="206"/>
    </row>
    <row r="244" spans="2:7" ht="15" customHeight="1" x14ac:dyDescent="0.2">
      <c r="B244" s="203"/>
      <c r="C244" s="204"/>
      <c r="D244" s="205"/>
      <c r="E244" s="204"/>
      <c r="F244" s="204"/>
      <c r="G244" s="206"/>
    </row>
    <row r="245" spans="2:7" ht="15" customHeight="1" x14ac:dyDescent="0.2">
      <c r="B245" s="203"/>
      <c r="C245" s="204"/>
      <c r="D245" s="205"/>
      <c r="E245" s="204"/>
      <c r="F245" s="204"/>
      <c r="G245" s="206"/>
    </row>
    <row r="246" spans="2:7" ht="15" customHeight="1" x14ac:dyDescent="0.2">
      <c r="B246" s="203"/>
      <c r="C246" s="204"/>
      <c r="D246" s="205"/>
      <c r="E246" s="204"/>
      <c r="F246" s="204"/>
      <c r="G246" s="206"/>
    </row>
    <row r="247" spans="2:7" ht="15" customHeight="1" x14ac:dyDescent="0.2">
      <c r="B247" s="203"/>
      <c r="C247" s="204"/>
      <c r="D247" s="205"/>
      <c r="E247" s="204"/>
      <c r="F247" s="204"/>
      <c r="G247" s="206"/>
    </row>
    <row r="248" spans="2:7" ht="15" customHeight="1" x14ac:dyDescent="0.2">
      <c r="B248" s="203"/>
      <c r="C248" s="204"/>
      <c r="D248" s="205"/>
      <c r="E248" s="204"/>
      <c r="F248" s="204"/>
      <c r="G248" s="206"/>
    </row>
    <row r="249" spans="2:7" ht="15" customHeight="1" x14ac:dyDescent="0.2">
      <c r="B249" s="203"/>
      <c r="C249" s="204"/>
      <c r="D249" s="205"/>
      <c r="E249" s="204"/>
      <c r="F249" s="204"/>
      <c r="G249" s="206"/>
    </row>
    <row r="250" spans="2:7" ht="15" customHeight="1" x14ac:dyDescent="0.2">
      <c r="B250" s="203"/>
      <c r="C250" s="204"/>
      <c r="D250" s="205"/>
      <c r="E250" s="204"/>
      <c r="F250" s="204"/>
      <c r="G250" s="206"/>
    </row>
    <row r="251" spans="2:7" ht="15" customHeight="1" x14ac:dyDescent="0.2">
      <c r="B251" s="203"/>
      <c r="C251" s="204"/>
      <c r="D251" s="205"/>
      <c r="E251" s="204"/>
      <c r="F251" s="204"/>
      <c r="G251" s="206"/>
    </row>
    <row r="252" spans="2:7" ht="15" customHeight="1" x14ac:dyDescent="0.2">
      <c r="B252" s="203"/>
      <c r="C252" s="204"/>
      <c r="D252" s="205"/>
      <c r="E252" s="204"/>
      <c r="F252" s="204"/>
      <c r="G252" s="206"/>
    </row>
    <row r="253" spans="2:7" ht="15" customHeight="1" x14ac:dyDescent="0.2">
      <c r="B253" s="203"/>
      <c r="C253" s="204"/>
      <c r="D253" s="205"/>
      <c r="E253" s="204"/>
      <c r="F253" s="204"/>
      <c r="G253" s="206"/>
    </row>
    <row r="254" spans="2:7" ht="15" customHeight="1" x14ac:dyDescent="0.2">
      <c r="B254" s="203"/>
      <c r="C254" s="204"/>
      <c r="D254" s="205"/>
      <c r="E254" s="204"/>
      <c r="F254" s="204"/>
      <c r="G254" s="206"/>
    </row>
    <row r="255" spans="2:7" ht="15" customHeight="1" x14ac:dyDescent="0.2">
      <c r="B255" s="203"/>
      <c r="C255" s="204"/>
      <c r="D255" s="205"/>
      <c r="E255" s="204"/>
      <c r="F255" s="204"/>
      <c r="G255" s="206"/>
    </row>
    <row r="256" spans="2:7" ht="15" customHeight="1" x14ac:dyDescent="0.2">
      <c r="B256" s="203"/>
      <c r="C256" s="204"/>
      <c r="D256" s="205"/>
      <c r="E256" s="204"/>
      <c r="F256" s="204"/>
      <c r="G256" s="206"/>
    </row>
    <row r="257" spans="2:7" ht="15" customHeight="1" x14ac:dyDescent="0.2">
      <c r="B257" s="203"/>
      <c r="C257" s="204"/>
      <c r="D257" s="205"/>
      <c r="E257" s="204"/>
      <c r="F257" s="204"/>
      <c r="G257" s="206"/>
    </row>
    <row r="258" spans="2:7" ht="15" customHeight="1" x14ac:dyDescent="0.2">
      <c r="B258" s="203"/>
      <c r="C258" s="204"/>
      <c r="D258" s="205"/>
      <c r="E258" s="204"/>
      <c r="F258" s="204"/>
      <c r="G258" s="206"/>
    </row>
    <row r="259" spans="2:7" ht="15" customHeight="1" x14ac:dyDescent="0.2">
      <c r="B259" s="203"/>
      <c r="C259" s="204"/>
      <c r="D259" s="205"/>
      <c r="E259" s="204"/>
      <c r="F259" s="204"/>
      <c r="G259" s="206"/>
    </row>
    <row r="260" spans="2:7" ht="15" customHeight="1" x14ac:dyDescent="0.2">
      <c r="B260" s="203"/>
      <c r="C260" s="204"/>
      <c r="D260" s="205"/>
      <c r="E260" s="204"/>
      <c r="F260" s="204"/>
      <c r="G260" s="206"/>
    </row>
    <row r="261" spans="2:7" ht="15" customHeight="1" x14ac:dyDescent="0.2">
      <c r="B261" s="203"/>
      <c r="C261" s="204"/>
      <c r="D261" s="205"/>
      <c r="E261" s="204"/>
      <c r="F261" s="204"/>
      <c r="G261" s="206"/>
    </row>
    <row r="262" spans="2:7" ht="15" customHeight="1" x14ac:dyDescent="0.2">
      <c r="B262" s="203"/>
      <c r="C262" s="204"/>
      <c r="D262" s="205"/>
      <c r="E262" s="204"/>
      <c r="F262" s="204"/>
      <c r="G262" s="206"/>
    </row>
    <row r="263" spans="2:7" ht="15" customHeight="1" x14ac:dyDescent="0.2">
      <c r="B263" s="203"/>
      <c r="C263" s="204"/>
      <c r="D263" s="205"/>
      <c r="E263" s="204"/>
      <c r="F263" s="204"/>
      <c r="G263" s="206"/>
    </row>
    <row r="264" spans="2:7" ht="15" customHeight="1" x14ac:dyDescent="0.2">
      <c r="B264" s="203"/>
      <c r="C264" s="204"/>
      <c r="D264" s="205"/>
      <c r="E264" s="204"/>
      <c r="F264" s="204"/>
      <c r="G264" s="206"/>
    </row>
    <row r="265" spans="2:7" ht="15" customHeight="1" x14ac:dyDescent="0.2">
      <c r="B265" s="203"/>
      <c r="C265" s="204"/>
      <c r="D265" s="205"/>
      <c r="E265" s="204"/>
      <c r="F265" s="204"/>
      <c r="G265" s="206"/>
    </row>
    <row r="266" spans="2:7" ht="15" customHeight="1" x14ac:dyDescent="0.2">
      <c r="B266" s="203"/>
      <c r="C266" s="204"/>
      <c r="D266" s="205"/>
      <c r="E266" s="204"/>
      <c r="F266" s="204"/>
      <c r="G266" s="206"/>
    </row>
    <row r="267" spans="2:7" ht="15" customHeight="1" x14ac:dyDescent="0.2">
      <c r="B267" s="203"/>
      <c r="C267" s="204"/>
      <c r="D267" s="205"/>
      <c r="E267" s="204"/>
      <c r="F267" s="204"/>
      <c r="G267" s="206"/>
    </row>
    <row r="268" spans="2:7" ht="15" customHeight="1" x14ac:dyDescent="0.2">
      <c r="B268" s="203"/>
      <c r="C268" s="204"/>
      <c r="D268" s="205"/>
      <c r="E268" s="204"/>
      <c r="F268" s="204"/>
      <c r="G268" s="206"/>
    </row>
    <row r="269" spans="2:7" ht="15" customHeight="1" x14ac:dyDescent="0.2">
      <c r="B269" s="203"/>
      <c r="C269" s="204"/>
      <c r="D269" s="205"/>
      <c r="E269" s="204"/>
      <c r="F269" s="204"/>
      <c r="G269" s="206"/>
    </row>
    <row r="270" spans="2:7" ht="15" customHeight="1" x14ac:dyDescent="0.2">
      <c r="B270" s="203"/>
      <c r="C270" s="204"/>
      <c r="D270" s="205"/>
      <c r="E270" s="204"/>
      <c r="F270" s="204"/>
      <c r="G270" s="206"/>
    </row>
    <row r="271" spans="2:7" ht="15" customHeight="1" x14ac:dyDescent="0.2">
      <c r="B271" s="203"/>
      <c r="C271" s="204"/>
      <c r="D271" s="205"/>
      <c r="E271" s="204"/>
      <c r="F271" s="204"/>
      <c r="G271" s="206"/>
    </row>
    <row r="272" spans="2:7" ht="15" customHeight="1" x14ac:dyDescent="0.2">
      <c r="B272" s="203"/>
      <c r="C272" s="204"/>
      <c r="D272" s="205"/>
      <c r="E272" s="204"/>
      <c r="F272" s="204"/>
      <c r="G272" s="206"/>
    </row>
    <row r="273" spans="2:7" ht="15" customHeight="1" x14ac:dyDescent="0.2">
      <c r="B273" s="203"/>
      <c r="C273" s="204"/>
      <c r="D273" s="205"/>
      <c r="E273" s="204"/>
      <c r="F273" s="204"/>
      <c r="G273" s="206"/>
    </row>
    <row r="274" spans="2:7" ht="15" customHeight="1" x14ac:dyDescent="0.2">
      <c r="B274" s="203"/>
      <c r="C274" s="204"/>
      <c r="D274" s="205"/>
      <c r="E274" s="204"/>
      <c r="F274" s="204"/>
      <c r="G274" s="206"/>
    </row>
    <row r="275" spans="2:7" ht="15" customHeight="1" x14ac:dyDescent="0.2">
      <c r="B275" s="203"/>
      <c r="C275" s="204"/>
      <c r="D275" s="205"/>
      <c r="E275" s="204"/>
      <c r="F275" s="204"/>
      <c r="G275" s="206"/>
    </row>
    <row r="276" spans="2:7" ht="15" customHeight="1" x14ac:dyDescent="0.2">
      <c r="B276" s="203"/>
      <c r="C276" s="204"/>
      <c r="D276" s="205"/>
      <c r="E276" s="204"/>
      <c r="F276" s="204"/>
      <c r="G276" s="206"/>
    </row>
    <row r="277" spans="2:7" ht="15" customHeight="1" x14ac:dyDescent="0.2">
      <c r="B277" s="203"/>
      <c r="C277" s="204"/>
      <c r="D277" s="205"/>
      <c r="E277" s="204"/>
      <c r="F277" s="204"/>
      <c r="G277" s="206"/>
    </row>
    <row r="278" spans="2:7" ht="15" customHeight="1" x14ac:dyDescent="0.2">
      <c r="B278" s="203"/>
      <c r="C278" s="204"/>
      <c r="D278" s="205"/>
      <c r="E278" s="204"/>
      <c r="F278" s="204"/>
      <c r="G278" s="206"/>
    </row>
    <row r="279" spans="2:7" ht="15" customHeight="1" x14ac:dyDescent="0.2">
      <c r="B279" s="203"/>
      <c r="C279" s="204"/>
      <c r="D279" s="205"/>
      <c r="E279" s="204"/>
      <c r="F279" s="204"/>
      <c r="G279" s="206"/>
    </row>
    <row r="280" spans="2:7" ht="15" customHeight="1" x14ac:dyDescent="0.2">
      <c r="B280" s="203"/>
      <c r="C280" s="204"/>
      <c r="D280" s="205"/>
      <c r="E280" s="204"/>
      <c r="F280" s="204"/>
      <c r="G280" s="206"/>
    </row>
    <row r="281" spans="2:7" ht="15" customHeight="1" x14ac:dyDescent="0.2">
      <c r="B281" s="203"/>
      <c r="C281" s="204"/>
      <c r="D281" s="205"/>
      <c r="E281" s="204"/>
      <c r="F281" s="204"/>
      <c r="G281" s="206"/>
    </row>
    <row r="282" spans="2:7" ht="15" customHeight="1" x14ac:dyDescent="0.2">
      <c r="B282" s="203"/>
      <c r="C282" s="204"/>
      <c r="D282" s="205"/>
      <c r="E282" s="204"/>
      <c r="F282" s="204"/>
      <c r="G282" s="206"/>
    </row>
    <row r="283" spans="2:7" ht="15" customHeight="1" x14ac:dyDescent="0.2">
      <c r="B283" s="203"/>
      <c r="C283" s="204"/>
      <c r="D283" s="205"/>
      <c r="E283" s="204"/>
      <c r="F283" s="204"/>
      <c r="G283" s="206"/>
    </row>
    <row r="284" spans="2:7" ht="15" customHeight="1" x14ac:dyDescent="0.2">
      <c r="B284" s="203"/>
      <c r="C284" s="204"/>
      <c r="D284" s="205"/>
      <c r="E284" s="204"/>
      <c r="F284" s="204"/>
      <c r="G284" s="206"/>
    </row>
    <row r="285" spans="2:7" ht="15" customHeight="1" x14ac:dyDescent="0.2">
      <c r="B285" s="203"/>
      <c r="C285" s="204"/>
      <c r="D285" s="205"/>
      <c r="E285" s="204"/>
      <c r="F285" s="204"/>
      <c r="G285" s="206"/>
    </row>
    <row r="286" spans="2:7" ht="15" customHeight="1" x14ac:dyDescent="0.2">
      <c r="B286" s="203"/>
      <c r="C286" s="204"/>
      <c r="D286" s="205"/>
      <c r="E286" s="204"/>
      <c r="F286" s="204"/>
      <c r="G286" s="206"/>
    </row>
    <row r="287" spans="2:7" ht="15" customHeight="1" x14ac:dyDescent="0.2">
      <c r="B287" s="203"/>
      <c r="C287" s="204"/>
      <c r="D287" s="205"/>
      <c r="E287" s="204"/>
      <c r="F287" s="204"/>
      <c r="G287" s="206"/>
    </row>
    <row r="288" spans="2:7" ht="15" customHeight="1" x14ac:dyDescent="0.2">
      <c r="B288" s="203"/>
      <c r="C288" s="204"/>
      <c r="D288" s="205"/>
      <c r="E288" s="204"/>
      <c r="F288" s="204"/>
      <c r="G288" s="206"/>
    </row>
    <row r="289" spans="2:7" ht="15" customHeight="1" x14ac:dyDescent="0.2">
      <c r="B289" s="203"/>
      <c r="C289" s="204"/>
      <c r="D289" s="205"/>
      <c r="E289" s="204"/>
      <c r="F289" s="204"/>
      <c r="G289" s="206"/>
    </row>
    <row r="290" spans="2:7" ht="15" customHeight="1" x14ac:dyDescent="0.2">
      <c r="B290" s="203"/>
      <c r="C290" s="204"/>
      <c r="D290" s="205"/>
      <c r="E290" s="204"/>
      <c r="F290" s="204"/>
      <c r="G290" s="206"/>
    </row>
    <row r="291" spans="2:7" ht="15" customHeight="1" x14ac:dyDescent="0.2">
      <c r="B291" s="203"/>
      <c r="C291" s="204"/>
      <c r="D291" s="205"/>
      <c r="E291" s="204"/>
      <c r="F291" s="204"/>
      <c r="G291" s="206"/>
    </row>
    <row r="292" spans="2:7" ht="15" customHeight="1" x14ac:dyDescent="0.2">
      <c r="B292" s="203"/>
      <c r="C292" s="204"/>
      <c r="D292" s="205"/>
      <c r="E292" s="204"/>
      <c r="F292" s="204"/>
      <c r="G292" s="206"/>
    </row>
    <row r="293" spans="2:7" ht="15" customHeight="1" x14ac:dyDescent="0.2">
      <c r="B293" s="203"/>
      <c r="C293" s="204"/>
      <c r="D293" s="205"/>
      <c r="E293" s="204"/>
      <c r="F293" s="204"/>
      <c r="G293" s="206"/>
    </row>
    <row r="294" spans="2:7" ht="15" customHeight="1" x14ac:dyDescent="0.2">
      <c r="B294" s="203"/>
      <c r="C294" s="204"/>
      <c r="D294" s="205"/>
      <c r="E294" s="204"/>
      <c r="F294" s="204"/>
      <c r="G294" s="206"/>
    </row>
    <row r="295" spans="2:7" ht="15" customHeight="1" x14ac:dyDescent="0.2">
      <c r="B295" s="203"/>
      <c r="C295" s="204"/>
      <c r="D295" s="205"/>
      <c r="E295" s="204"/>
      <c r="F295" s="204"/>
      <c r="G295" s="206"/>
    </row>
    <row r="296" spans="2:7" ht="15" customHeight="1" x14ac:dyDescent="0.2">
      <c r="B296" s="203"/>
      <c r="C296" s="204"/>
      <c r="D296" s="205"/>
      <c r="E296" s="204"/>
      <c r="F296" s="204"/>
      <c r="G296" s="206"/>
    </row>
    <row r="297" spans="2:7" ht="15" customHeight="1" x14ac:dyDescent="0.2">
      <c r="B297" s="203"/>
      <c r="C297" s="204"/>
      <c r="D297" s="205"/>
      <c r="E297" s="204"/>
      <c r="F297" s="204"/>
      <c r="G297" s="206"/>
    </row>
    <row r="298" spans="2:7" ht="15" customHeight="1" x14ac:dyDescent="0.2">
      <c r="B298" s="203"/>
      <c r="C298" s="204"/>
      <c r="D298" s="205"/>
      <c r="E298" s="204"/>
      <c r="F298" s="204"/>
      <c r="G298" s="206"/>
    </row>
    <row r="299" spans="2:7" ht="15" customHeight="1" x14ac:dyDescent="0.2">
      <c r="B299" s="203"/>
      <c r="C299" s="204"/>
      <c r="D299" s="205"/>
      <c r="E299" s="204"/>
      <c r="F299" s="204"/>
      <c r="G299" s="206"/>
    </row>
    <row r="300" spans="2:7" ht="15" customHeight="1" x14ac:dyDescent="0.2">
      <c r="B300" s="203"/>
      <c r="C300" s="204"/>
      <c r="D300" s="205"/>
      <c r="E300" s="204"/>
      <c r="F300" s="204"/>
      <c r="G300" s="206"/>
    </row>
    <row r="301" spans="2:7" ht="15" customHeight="1" x14ac:dyDescent="0.2">
      <c r="B301" s="203"/>
      <c r="C301" s="204"/>
      <c r="D301" s="205"/>
      <c r="E301" s="204"/>
      <c r="F301" s="204"/>
      <c r="G301" s="206"/>
    </row>
    <row r="302" spans="2:7" ht="15" customHeight="1" x14ac:dyDescent="0.2">
      <c r="B302" s="203"/>
      <c r="C302" s="204"/>
      <c r="D302" s="205"/>
      <c r="E302" s="204"/>
      <c r="F302" s="204"/>
      <c r="G302" s="206"/>
    </row>
    <row r="303" spans="2:7" ht="15" customHeight="1" x14ac:dyDescent="0.2">
      <c r="B303" s="203"/>
      <c r="C303" s="204"/>
      <c r="D303" s="205"/>
      <c r="E303" s="204"/>
      <c r="F303" s="204"/>
      <c r="G303" s="206"/>
    </row>
    <row r="304" spans="2:7" ht="15" customHeight="1" x14ac:dyDescent="0.2">
      <c r="B304" s="203"/>
      <c r="C304" s="204"/>
      <c r="D304" s="205"/>
      <c r="E304" s="204"/>
      <c r="F304" s="204"/>
      <c r="G304" s="206"/>
    </row>
    <row r="305" spans="2:7" ht="15" customHeight="1" x14ac:dyDescent="0.2">
      <c r="B305" s="203"/>
      <c r="C305" s="204"/>
      <c r="D305" s="205"/>
      <c r="E305" s="204"/>
      <c r="F305" s="204"/>
      <c r="G305" s="206"/>
    </row>
    <row r="306" spans="2:7" ht="15" customHeight="1" x14ac:dyDescent="0.2">
      <c r="B306" s="203"/>
      <c r="C306" s="204"/>
      <c r="D306" s="205"/>
      <c r="E306" s="204"/>
      <c r="F306" s="204"/>
      <c r="G306" s="206"/>
    </row>
    <row r="307" spans="2:7" ht="15" customHeight="1" x14ac:dyDescent="0.2">
      <c r="B307" s="203"/>
      <c r="C307" s="204"/>
      <c r="D307" s="205"/>
      <c r="E307" s="204"/>
      <c r="F307" s="204"/>
      <c r="G307" s="206"/>
    </row>
    <row r="308" spans="2:7" ht="15" customHeight="1" x14ac:dyDescent="0.2">
      <c r="B308" s="203"/>
      <c r="C308" s="204"/>
      <c r="D308" s="205"/>
      <c r="E308" s="204"/>
      <c r="F308" s="204"/>
      <c r="G308" s="206"/>
    </row>
    <row r="309" spans="2:7" ht="15" customHeight="1" x14ac:dyDescent="0.2">
      <c r="B309" s="203"/>
      <c r="C309" s="204"/>
      <c r="D309" s="205"/>
      <c r="E309" s="204"/>
      <c r="F309" s="204"/>
      <c r="G309" s="206"/>
    </row>
    <row r="310" spans="2:7" ht="15" customHeight="1" x14ac:dyDescent="0.2">
      <c r="B310" s="203"/>
      <c r="C310" s="204"/>
      <c r="D310" s="205"/>
      <c r="E310" s="204"/>
      <c r="F310" s="204"/>
      <c r="G310" s="206"/>
    </row>
    <row r="311" spans="2:7" ht="15" customHeight="1" x14ac:dyDescent="0.2">
      <c r="B311" s="203"/>
      <c r="C311" s="204"/>
      <c r="D311" s="205"/>
      <c r="E311" s="204"/>
      <c r="F311" s="204"/>
      <c r="G311" s="206"/>
    </row>
    <row r="312" spans="2:7" ht="15" customHeight="1" x14ac:dyDescent="0.2">
      <c r="B312" s="203"/>
      <c r="C312" s="204"/>
      <c r="D312" s="205"/>
      <c r="E312" s="204"/>
      <c r="F312" s="204"/>
      <c r="G312" s="206"/>
    </row>
    <row r="313" spans="2:7" ht="15" customHeight="1" x14ac:dyDescent="0.2">
      <c r="B313" s="203"/>
      <c r="C313" s="204"/>
      <c r="D313" s="205"/>
      <c r="E313" s="204"/>
      <c r="F313" s="204"/>
      <c r="G313" s="206"/>
    </row>
    <row r="314" spans="2:7" ht="15" customHeight="1" x14ac:dyDescent="0.2">
      <c r="B314" s="203"/>
      <c r="C314" s="204"/>
      <c r="D314" s="205"/>
      <c r="E314" s="204"/>
      <c r="F314" s="204"/>
      <c r="G314" s="206"/>
    </row>
    <row r="315" spans="2:7" ht="15" customHeight="1" x14ac:dyDescent="0.2">
      <c r="B315" s="203"/>
      <c r="C315" s="204"/>
      <c r="D315" s="205"/>
      <c r="E315" s="204"/>
      <c r="F315" s="204"/>
      <c r="G315" s="206"/>
    </row>
    <row r="316" spans="2:7" ht="15" customHeight="1" x14ac:dyDescent="0.2">
      <c r="B316" s="203"/>
      <c r="C316" s="204"/>
      <c r="D316" s="205"/>
      <c r="E316" s="204"/>
      <c r="F316" s="204"/>
      <c r="G316" s="206"/>
    </row>
    <row r="317" spans="2:7" ht="15" customHeight="1" x14ac:dyDescent="0.2">
      <c r="B317" s="203"/>
      <c r="C317" s="204"/>
      <c r="D317" s="205"/>
      <c r="E317" s="204"/>
      <c r="F317" s="204"/>
      <c r="G317" s="206"/>
    </row>
    <row r="318" spans="2:7" ht="15" customHeight="1" x14ac:dyDescent="0.2">
      <c r="B318" s="203"/>
      <c r="C318" s="204"/>
      <c r="D318" s="205"/>
      <c r="E318" s="204"/>
      <c r="F318" s="204"/>
      <c r="G318" s="206"/>
    </row>
    <row r="319" spans="2:7" ht="15" customHeight="1" x14ac:dyDescent="0.2">
      <c r="B319" s="203"/>
      <c r="C319" s="204"/>
      <c r="D319" s="205"/>
      <c r="E319" s="204"/>
      <c r="F319" s="204"/>
      <c r="G319" s="206"/>
    </row>
    <row r="320" spans="2:7" ht="15" customHeight="1" x14ac:dyDescent="0.2">
      <c r="B320" s="203"/>
      <c r="C320" s="204"/>
      <c r="D320" s="205"/>
      <c r="E320" s="204"/>
      <c r="F320" s="204"/>
      <c r="G320" s="206"/>
    </row>
    <row r="321" spans="2:7" ht="15" customHeight="1" x14ac:dyDescent="0.2">
      <c r="B321" s="203"/>
      <c r="C321" s="204"/>
      <c r="D321" s="205"/>
      <c r="E321" s="204"/>
      <c r="F321" s="204"/>
      <c r="G321" s="206"/>
    </row>
    <row r="322" spans="2:7" ht="15" customHeight="1" x14ac:dyDescent="0.2">
      <c r="B322" s="203"/>
      <c r="C322" s="204"/>
      <c r="D322" s="205"/>
      <c r="E322" s="204"/>
      <c r="F322" s="204"/>
      <c r="G322" s="206"/>
    </row>
    <row r="323" spans="2:7" ht="15" customHeight="1" x14ac:dyDescent="0.2">
      <c r="B323" s="203"/>
      <c r="C323" s="204"/>
      <c r="D323" s="205"/>
      <c r="E323" s="204"/>
      <c r="F323" s="204"/>
      <c r="G323" s="206"/>
    </row>
    <row r="324" spans="2:7" ht="15" customHeight="1" x14ac:dyDescent="0.2">
      <c r="B324" s="203"/>
      <c r="C324" s="204"/>
      <c r="D324" s="205"/>
      <c r="E324" s="204"/>
      <c r="F324" s="204"/>
      <c r="G324" s="206"/>
    </row>
    <row r="325" spans="2:7" ht="15" customHeight="1" x14ac:dyDescent="0.2">
      <c r="B325" s="203"/>
      <c r="C325" s="204"/>
      <c r="D325" s="205"/>
      <c r="E325" s="204"/>
      <c r="F325" s="204"/>
      <c r="G325" s="206"/>
    </row>
    <row r="326" spans="2:7" ht="15" customHeight="1" x14ac:dyDescent="0.2">
      <c r="B326" s="203"/>
      <c r="C326" s="204"/>
      <c r="D326" s="205"/>
      <c r="E326" s="204"/>
      <c r="F326" s="204"/>
      <c r="G326" s="206"/>
    </row>
    <row r="327" spans="2:7" ht="15" customHeight="1" x14ac:dyDescent="0.2">
      <c r="B327" s="203"/>
      <c r="C327" s="204"/>
      <c r="D327" s="205"/>
      <c r="E327" s="204"/>
      <c r="F327" s="204"/>
      <c r="G327" s="206"/>
    </row>
    <row r="328" spans="2:7" ht="15" customHeight="1" x14ac:dyDescent="0.2">
      <c r="B328" s="203"/>
      <c r="C328" s="204"/>
      <c r="D328" s="205"/>
      <c r="E328" s="204"/>
      <c r="F328" s="204"/>
      <c r="G328" s="206"/>
    </row>
    <row r="329" spans="2:7" ht="15" customHeight="1" x14ac:dyDescent="0.2">
      <c r="B329" s="203"/>
      <c r="C329" s="204"/>
      <c r="D329" s="205"/>
      <c r="E329" s="204"/>
      <c r="F329" s="204"/>
      <c r="G329" s="206"/>
    </row>
    <row r="330" spans="2:7" ht="15" customHeight="1" x14ac:dyDescent="0.2">
      <c r="B330" s="203"/>
      <c r="C330" s="204"/>
      <c r="D330" s="205"/>
      <c r="E330" s="204"/>
      <c r="F330" s="204"/>
      <c r="G330" s="206"/>
    </row>
    <row r="331" spans="2:7" ht="15" customHeight="1" x14ac:dyDescent="0.2">
      <c r="B331" s="203"/>
      <c r="C331" s="204"/>
      <c r="D331" s="205"/>
      <c r="E331" s="204"/>
      <c r="F331" s="204"/>
      <c r="G331" s="206"/>
    </row>
    <row r="332" spans="2:7" ht="15" customHeight="1" x14ac:dyDescent="0.2">
      <c r="B332" s="203"/>
      <c r="C332" s="204"/>
      <c r="D332" s="205"/>
      <c r="E332" s="204"/>
      <c r="F332" s="204"/>
      <c r="G332" s="206"/>
    </row>
    <row r="333" spans="2:7" ht="15" customHeight="1" x14ac:dyDescent="0.2">
      <c r="B333" s="203"/>
      <c r="C333" s="204"/>
      <c r="D333" s="205"/>
      <c r="E333" s="204"/>
      <c r="F333" s="204"/>
      <c r="G333" s="206"/>
    </row>
    <row r="334" spans="2:7" ht="15" customHeight="1" x14ac:dyDescent="0.2">
      <c r="B334" s="203"/>
      <c r="C334" s="204"/>
      <c r="D334" s="205"/>
      <c r="E334" s="204"/>
      <c r="F334" s="204"/>
      <c r="G334" s="206"/>
    </row>
    <row r="335" spans="2:7" ht="15" customHeight="1" x14ac:dyDescent="0.2">
      <c r="B335" s="203"/>
      <c r="C335" s="204"/>
      <c r="D335" s="205"/>
      <c r="E335" s="204"/>
      <c r="F335" s="204"/>
      <c r="G335" s="206"/>
    </row>
    <row r="336" spans="2:7" ht="15" customHeight="1" x14ac:dyDescent="0.2">
      <c r="B336" s="203"/>
      <c r="C336" s="204"/>
      <c r="D336" s="205"/>
      <c r="E336" s="204"/>
      <c r="F336" s="204"/>
      <c r="G336" s="206"/>
    </row>
    <row r="337" spans="2:7" ht="15" customHeight="1" x14ac:dyDescent="0.2">
      <c r="B337" s="203"/>
      <c r="C337" s="204"/>
      <c r="D337" s="205"/>
      <c r="E337" s="204"/>
      <c r="F337" s="204"/>
      <c r="G337" s="206"/>
    </row>
    <row r="338" spans="2:7" ht="15" customHeight="1" x14ac:dyDescent="0.2">
      <c r="B338" s="203"/>
      <c r="C338" s="204"/>
      <c r="D338" s="205"/>
      <c r="E338" s="204"/>
      <c r="F338" s="204"/>
      <c r="G338" s="206"/>
    </row>
    <row r="339" spans="2:7" ht="15" customHeight="1" x14ac:dyDescent="0.2">
      <c r="B339" s="203"/>
      <c r="C339" s="204"/>
      <c r="D339" s="205"/>
      <c r="E339" s="204"/>
      <c r="F339" s="204"/>
      <c r="G339" s="206"/>
    </row>
    <row r="340" spans="2:7" ht="15" customHeight="1" x14ac:dyDescent="0.2">
      <c r="B340" s="203"/>
      <c r="C340" s="204"/>
      <c r="D340" s="205"/>
      <c r="E340" s="204"/>
      <c r="F340" s="204"/>
      <c r="G340" s="206"/>
    </row>
    <row r="341" spans="2:7" ht="15" customHeight="1" x14ac:dyDescent="0.2">
      <c r="B341" s="203"/>
      <c r="C341" s="204"/>
      <c r="D341" s="205"/>
      <c r="E341" s="204"/>
      <c r="F341" s="204"/>
      <c r="G341" s="206"/>
    </row>
    <row r="342" spans="2:7" ht="15" customHeight="1" x14ac:dyDescent="0.2">
      <c r="B342" s="203"/>
      <c r="C342" s="204"/>
      <c r="D342" s="205"/>
      <c r="E342" s="204"/>
      <c r="F342" s="204"/>
      <c r="G342" s="206"/>
    </row>
    <row r="343" spans="2:7" ht="15" customHeight="1" x14ac:dyDescent="0.2">
      <c r="B343" s="203"/>
      <c r="C343" s="204"/>
      <c r="D343" s="205"/>
      <c r="E343" s="204"/>
      <c r="F343" s="204"/>
      <c r="G343" s="206"/>
    </row>
    <row r="344" spans="2:7" ht="15" customHeight="1" x14ac:dyDescent="0.2">
      <c r="B344" s="203"/>
      <c r="C344" s="204"/>
      <c r="D344" s="205"/>
      <c r="E344" s="204"/>
      <c r="F344" s="204"/>
      <c r="G344" s="206"/>
    </row>
    <row r="345" spans="2:7" ht="15" customHeight="1" x14ac:dyDescent="0.2">
      <c r="B345" s="203"/>
      <c r="C345" s="204"/>
      <c r="D345" s="205"/>
      <c r="E345" s="204"/>
      <c r="F345" s="204"/>
      <c r="G345" s="206"/>
    </row>
    <row r="346" spans="2:7" ht="15" customHeight="1" x14ac:dyDescent="0.2">
      <c r="B346" s="203"/>
      <c r="C346" s="204"/>
      <c r="D346" s="205"/>
      <c r="E346" s="204"/>
      <c r="F346" s="204"/>
      <c r="G346" s="206"/>
    </row>
    <row r="347" spans="2:7" ht="15" customHeight="1" x14ac:dyDescent="0.2">
      <c r="B347" s="203"/>
      <c r="C347" s="204"/>
      <c r="D347" s="205"/>
      <c r="E347" s="204"/>
      <c r="F347" s="204"/>
      <c r="G347" s="206"/>
    </row>
    <row r="348" spans="2:7" ht="15" customHeight="1" x14ac:dyDescent="0.2">
      <c r="B348" s="203"/>
      <c r="C348" s="204"/>
      <c r="D348" s="205"/>
      <c r="E348" s="204"/>
      <c r="F348" s="204"/>
      <c r="G348" s="206"/>
    </row>
    <row r="349" spans="2:7" ht="15" customHeight="1" x14ac:dyDescent="0.2">
      <c r="B349" s="203"/>
      <c r="C349" s="204"/>
      <c r="D349" s="205"/>
      <c r="E349" s="204"/>
      <c r="F349" s="204"/>
      <c r="G349" s="206"/>
    </row>
    <row r="350" spans="2:7" ht="15" customHeight="1" x14ac:dyDescent="0.2">
      <c r="B350" s="203"/>
      <c r="C350" s="204"/>
      <c r="D350" s="205"/>
      <c r="E350" s="204"/>
      <c r="F350" s="204"/>
      <c r="G350" s="206"/>
    </row>
    <row r="351" spans="2:7" ht="15" customHeight="1" x14ac:dyDescent="0.2">
      <c r="B351" s="203"/>
      <c r="C351" s="204"/>
      <c r="D351" s="205"/>
      <c r="E351" s="204"/>
      <c r="F351" s="204"/>
      <c r="G351" s="206"/>
    </row>
    <row r="352" spans="2:7" ht="15" customHeight="1" x14ac:dyDescent="0.2">
      <c r="B352" s="203"/>
      <c r="C352" s="204"/>
      <c r="D352" s="205"/>
      <c r="E352" s="204"/>
      <c r="F352" s="204"/>
      <c r="G352" s="206"/>
    </row>
    <row r="353" spans="2:7" ht="15" customHeight="1" x14ac:dyDescent="0.2">
      <c r="B353" s="203"/>
      <c r="C353" s="204"/>
      <c r="D353" s="205"/>
      <c r="E353" s="204"/>
      <c r="F353" s="204"/>
      <c r="G353" s="206"/>
    </row>
    <row r="354" spans="2:7" ht="15" customHeight="1" x14ac:dyDescent="0.2">
      <c r="B354" s="203"/>
      <c r="C354" s="204"/>
      <c r="D354" s="205"/>
      <c r="E354" s="204"/>
      <c r="F354" s="204"/>
      <c r="G354" s="206"/>
    </row>
    <row r="355" spans="2:7" ht="15" customHeight="1" x14ac:dyDescent="0.2">
      <c r="B355" s="203"/>
      <c r="C355" s="204"/>
      <c r="D355" s="205"/>
      <c r="E355" s="204"/>
      <c r="F355" s="204"/>
      <c r="G355" s="206"/>
    </row>
    <row r="356" spans="2:7" ht="15" customHeight="1" x14ac:dyDescent="0.2">
      <c r="B356" s="203"/>
      <c r="C356" s="204"/>
      <c r="D356" s="205"/>
      <c r="E356" s="204"/>
      <c r="F356" s="204"/>
      <c r="G356" s="206"/>
    </row>
    <row r="357" spans="2:7" ht="15" customHeight="1" x14ac:dyDescent="0.2">
      <c r="B357" s="203"/>
      <c r="C357" s="204"/>
      <c r="D357" s="205"/>
      <c r="E357" s="204"/>
      <c r="F357" s="204"/>
      <c r="G357" s="206"/>
    </row>
    <row r="358" spans="2:7" ht="15" customHeight="1" x14ac:dyDescent="0.2">
      <c r="B358" s="203"/>
      <c r="C358" s="204"/>
      <c r="D358" s="205"/>
      <c r="E358" s="204"/>
      <c r="F358" s="204"/>
      <c r="G358" s="206"/>
    </row>
    <row r="359" spans="2:7" ht="15" customHeight="1" x14ac:dyDescent="0.2">
      <c r="B359" s="203"/>
      <c r="C359" s="204"/>
      <c r="D359" s="205"/>
      <c r="E359" s="204"/>
      <c r="F359" s="204"/>
      <c r="G359" s="206"/>
    </row>
    <row r="360" spans="2:7" ht="15" customHeight="1" x14ac:dyDescent="0.2">
      <c r="B360" s="203"/>
      <c r="C360" s="204"/>
      <c r="D360" s="205"/>
      <c r="E360" s="204"/>
      <c r="F360" s="204"/>
      <c r="G360" s="206"/>
    </row>
    <row r="361" spans="2:7" ht="15" customHeight="1" x14ac:dyDescent="0.2">
      <c r="B361" s="203"/>
      <c r="C361" s="204"/>
      <c r="D361" s="205"/>
      <c r="E361" s="204"/>
      <c r="F361" s="204"/>
      <c r="G361" s="206"/>
    </row>
    <row r="362" spans="2:7" ht="15" customHeight="1" x14ac:dyDescent="0.2">
      <c r="B362" s="203"/>
      <c r="C362" s="204"/>
      <c r="D362" s="205"/>
      <c r="E362" s="204"/>
      <c r="F362" s="204"/>
      <c r="G362" s="206"/>
    </row>
    <row r="363" spans="2:7" ht="15" customHeight="1" x14ac:dyDescent="0.2">
      <c r="B363" s="203"/>
      <c r="C363" s="204"/>
      <c r="D363" s="205"/>
      <c r="E363" s="204"/>
      <c r="F363" s="204"/>
      <c r="G363" s="206"/>
    </row>
    <row r="364" spans="2:7" ht="15" customHeight="1" x14ac:dyDescent="0.2">
      <c r="B364" s="203"/>
      <c r="C364" s="204"/>
      <c r="D364" s="205"/>
      <c r="E364" s="204"/>
      <c r="F364" s="204"/>
      <c r="G364" s="206"/>
    </row>
    <row r="365" spans="2:7" ht="15" customHeight="1" x14ac:dyDescent="0.2">
      <c r="B365" s="203"/>
      <c r="C365" s="204"/>
      <c r="D365" s="205"/>
      <c r="E365" s="204"/>
      <c r="F365" s="204"/>
      <c r="G365" s="206"/>
    </row>
    <row r="366" spans="2:7" ht="15" customHeight="1" x14ac:dyDescent="0.2">
      <c r="B366" s="203"/>
      <c r="C366" s="204"/>
      <c r="D366" s="205"/>
      <c r="E366" s="204"/>
      <c r="F366" s="204"/>
      <c r="G366" s="206"/>
    </row>
    <row r="367" spans="2:7" ht="15" customHeight="1" x14ac:dyDescent="0.2">
      <c r="B367" s="203"/>
      <c r="C367" s="204"/>
      <c r="D367" s="205"/>
      <c r="E367" s="204"/>
      <c r="F367" s="204"/>
      <c r="G367" s="206"/>
    </row>
    <row r="368" spans="2:7" ht="15" customHeight="1" x14ac:dyDescent="0.2">
      <c r="B368" s="203"/>
      <c r="C368" s="204"/>
      <c r="D368" s="205"/>
      <c r="E368" s="204"/>
      <c r="F368" s="204"/>
      <c r="G368" s="206"/>
    </row>
    <row r="369" spans="2:7" ht="15" customHeight="1" x14ac:dyDescent="0.2">
      <c r="B369" s="203"/>
      <c r="C369" s="204"/>
      <c r="D369" s="205"/>
      <c r="E369" s="204"/>
      <c r="F369" s="204"/>
      <c r="G369" s="206"/>
    </row>
    <row r="370" spans="2:7" ht="15" customHeight="1" x14ac:dyDescent="0.2">
      <c r="B370" s="203"/>
      <c r="C370" s="204"/>
      <c r="D370" s="205"/>
      <c r="E370" s="204"/>
      <c r="F370" s="204"/>
      <c r="G370" s="206"/>
    </row>
    <row r="371" spans="2:7" ht="15" customHeight="1" x14ac:dyDescent="0.2">
      <c r="B371" s="203"/>
      <c r="C371" s="204"/>
      <c r="D371" s="205"/>
      <c r="E371" s="204"/>
      <c r="F371" s="204"/>
      <c r="G371" s="206"/>
    </row>
    <row r="372" spans="2:7" ht="15" customHeight="1" x14ac:dyDescent="0.2">
      <c r="B372" s="203"/>
      <c r="C372" s="204"/>
      <c r="D372" s="205"/>
      <c r="E372" s="204"/>
      <c r="F372" s="204"/>
      <c r="G372" s="206"/>
    </row>
    <row r="373" spans="2:7" ht="15" customHeight="1" x14ac:dyDescent="0.2">
      <c r="B373" s="203"/>
      <c r="C373" s="204"/>
      <c r="D373" s="205"/>
      <c r="E373" s="204"/>
      <c r="F373" s="204"/>
      <c r="G373" s="206"/>
    </row>
    <row r="374" spans="2:7" ht="15" customHeight="1" x14ac:dyDescent="0.2">
      <c r="B374" s="203"/>
      <c r="C374" s="204"/>
      <c r="D374" s="205"/>
      <c r="E374" s="204"/>
      <c r="F374" s="204"/>
      <c r="G374" s="206"/>
    </row>
    <row r="375" spans="2:7" ht="15" customHeight="1" x14ac:dyDescent="0.2">
      <c r="B375" s="203"/>
      <c r="C375" s="204"/>
      <c r="D375" s="205"/>
      <c r="E375" s="204"/>
      <c r="F375" s="204"/>
      <c r="G375" s="206"/>
    </row>
    <row r="376" spans="2:7" ht="15" customHeight="1" x14ac:dyDescent="0.2">
      <c r="B376" s="203"/>
      <c r="C376" s="204"/>
      <c r="D376" s="205"/>
      <c r="E376" s="204"/>
      <c r="F376" s="204"/>
      <c r="G376" s="206"/>
    </row>
    <row r="377" spans="2:7" ht="15" customHeight="1" x14ac:dyDescent="0.2">
      <c r="B377" s="203"/>
      <c r="C377" s="204"/>
      <c r="D377" s="205"/>
      <c r="E377" s="204"/>
      <c r="F377" s="204"/>
      <c r="G377" s="206"/>
    </row>
    <row r="378" spans="2:7" ht="15" customHeight="1" x14ac:dyDescent="0.2">
      <c r="B378" s="203"/>
      <c r="C378" s="204"/>
      <c r="D378" s="205"/>
      <c r="E378" s="204"/>
      <c r="F378" s="204"/>
      <c r="G378" s="206"/>
    </row>
    <row r="379" spans="2:7" ht="15" customHeight="1" x14ac:dyDescent="0.2">
      <c r="B379" s="203"/>
      <c r="C379" s="204"/>
      <c r="D379" s="205"/>
      <c r="E379" s="204"/>
      <c r="F379" s="204"/>
      <c r="G379" s="206"/>
    </row>
    <row r="380" spans="2:7" ht="15" customHeight="1" x14ac:dyDescent="0.2">
      <c r="B380" s="203"/>
      <c r="C380" s="204"/>
      <c r="D380" s="205"/>
      <c r="E380" s="204"/>
      <c r="F380" s="204"/>
      <c r="G380" s="206"/>
    </row>
    <row r="381" spans="2:7" ht="15" customHeight="1" x14ac:dyDescent="0.2">
      <c r="B381" s="203"/>
      <c r="C381" s="204"/>
      <c r="D381" s="205"/>
      <c r="E381" s="204"/>
      <c r="F381" s="204"/>
      <c r="G381" s="206"/>
    </row>
    <row r="382" spans="2:7" ht="15" customHeight="1" x14ac:dyDescent="0.2">
      <c r="B382" s="203"/>
      <c r="C382" s="204"/>
      <c r="D382" s="205"/>
      <c r="E382" s="204"/>
      <c r="F382" s="204"/>
      <c r="G382" s="206"/>
    </row>
    <row r="383" spans="2:7" ht="15" customHeight="1" x14ac:dyDescent="0.2">
      <c r="B383" s="203"/>
      <c r="C383" s="204"/>
      <c r="D383" s="205"/>
      <c r="E383" s="204"/>
      <c r="F383" s="204"/>
      <c r="G383" s="206"/>
    </row>
    <row r="384" spans="2:7" ht="15" customHeight="1" x14ac:dyDescent="0.2">
      <c r="B384" s="203"/>
      <c r="C384" s="204"/>
      <c r="D384" s="205"/>
      <c r="E384" s="204"/>
      <c r="F384" s="204"/>
      <c r="G384" s="206"/>
    </row>
    <row r="385" spans="2:7" ht="15" customHeight="1" x14ac:dyDescent="0.2">
      <c r="B385" s="203"/>
      <c r="C385" s="204"/>
      <c r="D385" s="205"/>
      <c r="E385" s="204"/>
      <c r="F385" s="204"/>
      <c r="G385" s="206"/>
    </row>
    <row r="386" spans="2:7" ht="15" customHeight="1" x14ac:dyDescent="0.2">
      <c r="B386" s="203"/>
      <c r="C386" s="204"/>
      <c r="D386" s="205"/>
      <c r="E386" s="204"/>
      <c r="F386" s="204"/>
      <c r="G386" s="206"/>
    </row>
    <row r="387" spans="2:7" ht="15" customHeight="1" x14ac:dyDescent="0.2">
      <c r="B387" s="203"/>
      <c r="C387" s="204"/>
      <c r="D387" s="205"/>
      <c r="E387" s="204"/>
      <c r="F387" s="204"/>
      <c r="G387" s="206"/>
    </row>
    <row r="388" spans="2:7" ht="15" customHeight="1" x14ac:dyDescent="0.2">
      <c r="B388" s="203"/>
      <c r="C388" s="204"/>
      <c r="D388" s="205"/>
      <c r="E388" s="204"/>
      <c r="F388" s="204"/>
      <c r="G388" s="206"/>
    </row>
    <row r="389" spans="2:7" ht="15" customHeight="1" x14ac:dyDescent="0.2">
      <c r="B389" s="203"/>
      <c r="C389" s="204"/>
      <c r="D389" s="205"/>
      <c r="E389" s="204"/>
      <c r="F389" s="204"/>
      <c r="G389" s="206"/>
    </row>
    <row r="390" spans="2:7" ht="15" customHeight="1" x14ac:dyDescent="0.2">
      <c r="B390" s="203"/>
      <c r="C390" s="204"/>
      <c r="D390" s="205"/>
      <c r="E390" s="204"/>
      <c r="F390" s="204"/>
      <c r="G390" s="206"/>
    </row>
    <row r="391" spans="2:7" ht="15" customHeight="1" x14ac:dyDescent="0.2">
      <c r="B391" s="203"/>
      <c r="C391" s="204"/>
      <c r="D391" s="205"/>
      <c r="E391" s="204"/>
      <c r="F391" s="204"/>
      <c r="G391" s="206"/>
    </row>
    <row r="392" spans="2:7" ht="15" customHeight="1" x14ac:dyDescent="0.2">
      <c r="B392" s="203"/>
      <c r="C392" s="204"/>
      <c r="D392" s="205"/>
      <c r="E392" s="204"/>
      <c r="F392" s="204"/>
      <c r="G392" s="206"/>
    </row>
    <row r="393" spans="2:7" ht="15" customHeight="1" x14ac:dyDescent="0.2">
      <c r="B393" s="203"/>
      <c r="C393" s="204"/>
      <c r="D393" s="205"/>
      <c r="E393" s="204"/>
      <c r="F393" s="204"/>
      <c r="G393" s="206"/>
    </row>
    <row r="394" spans="2:7" ht="15" customHeight="1" x14ac:dyDescent="0.2">
      <c r="B394" s="203"/>
      <c r="C394" s="204"/>
      <c r="D394" s="205"/>
      <c r="E394" s="204"/>
      <c r="F394" s="204"/>
      <c r="G394" s="206"/>
    </row>
    <row r="395" spans="2:7" ht="15" customHeight="1" x14ac:dyDescent="0.2">
      <c r="B395" s="203"/>
      <c r="C395" s="204"/>
      <c r="D395" s="205"/>
      <c r="E395" s="204"/>
      <c r="F395" s="204"/>
      <c r="G395" s="206"/>
    </row>
    <row r="396" spans="2:7" ht="15" customHeight="1" x14ac:dyDescent="0.2">
      <c r="B396" s="203"/>
      <c r="C396" s="204"/>
      <c r="D396" s="205"/>
      <c r="E396" s="204"/>
      <c r="F396" s="204"/>
      <c r="G396" s="206"/>
    </row>
    <row r="397" spans="2:7" ht="15" customHeight="1" x14ac:dyDescent="0.2">
      <c r="B397" s="203"/>
      <c r="C397" s="204"/>
      <c r="D397" s="205"/>
      <c r="E397" s="204"/>
      <c r="F397" s="204"/>
      <c r="G397" s="206"/>
    </row>
    <row r="398" spans="2:7" ht="15" customHeight="1" x14ac:dyDescent="0.2">
      <c r="B398" s="203"/>
      <c r="C398" s="204"/>
      <c r="D398" s="205"/>
      <c r="E398" s="204"/>
      <c r="F398" s="204"/>
      <c r="G398" s="206"/>
    </row>
    <row r="399" spans="2:7" ht="15" customHeight="1" x14ac:dyDescent="0.2">
      <c r="B399" s="203"/>
      <c r="C399" s="204"/>
      <c r="D399" s="205"/>
      <c r="E399" s="204"/>
      <c r="F399" s="204"/>
      <c r="G399" s="206"/>
    </row>
    <row r="400" spans="2:7" ht="15" customHeight="1" x14ac:dyDescent="0.2">
      <c r="B400" s="203"/>
      <c r="C400" s="204"/>
      <c r="D400" s="205"/>
      <c r="E400" s="204"/>
      <c r="F400" s="204"/>
      <c r="G400" s="206"/>
    </row>
    <row r="401" spans="2:7" ht="15" customHeight="1" x14ac:dyDescent="0.2">
      <c r="B401" s="203"/>
      <c r="C401" s="204"/>
      <c r="D401" s="205"/>
      <c r="E401" s="204"/>
      <c r="F401" s="204"/>
      <c r="G401" s="206"/>
    </row>
    <row r="402" spans="2:7" ht="15" customHeight="1" x14ac:dyDescent="0.2">
      <c r="B402" s="203"/>
      <c r="C402" s="204"/>
      <c r="D402" s="205"/>
      <c r="E402" s="204"/>
      <c r="F402" s="204"/>
      <c r="G402" s="206"/>
    </row>
    <row r="403" spans="2:7" ht="15" customHeight="1" x14ac:dyDescent="0.2">
      <c r="B403" s="203"/>
      <c r="C403" s="204"/>
      <c r="D403" s="205"/>
      <c r="E403" s="204"/>
      <c r="F403" s="204"/>
      <c r="G403" s="206"/>
    </row>
    <row r="404" spans="2:7" ht="15" customHeight="1" x14ac:dyDescent="0.2">
      <c r="B404" s="203"/>
      <c r="C404" s="204"/>
      <c r="D404" s="205"/>
      <c r="E404" s="204"/>
      <c r="F404" s="204"/>
      <c r="G404" s="206"/>
    </row>
    <row r="405" spans="2:7" ht="15" customHeight="1" x14ac:dyDescent="0.2">
      <c r="B405" s="203"/>
      <c r="C405" s="204"/>
      <c r="D405" s="205"/>
      <c r="E405" s="204"/>
      <c r="F405" s="204"/>
      <c r="G405" s="206"/>
    </row>
    <row r="406" spans="2:7" ht="15" customHeight="1" x14ac:dyDescent="0.2">
      <c r="B406" s="203"/>
      <c r="C406" s="204"/>
      <c r="D406" s="205"/>
      <c r="E406" s="204"/>
      <c r="F406" s="204"/>
      <c r="G406" s="206"/>
    </row>
    <row r="407" spans="2:7" ht="15" customHeight="1" x14ac:dyDescent="0.2">
      <c r="B407" s="203"/>
      <c r="C407" s="204"/>
      <c r="D407" s="205"/>
      <c r="E407" s="204"/>
      <c r="F407" s="204"/>
      <c r="G407" s="206"/>
    </row>
    <row r="408" spans="2:7" ht="15" customHeight="1" x14ac:dyDescent="0.2">
      <c r="B408" s="203"/>
      <c r="C408" s="204"/>
      <c r="D408" s="205"/>
      <c r="E408" s="204"/>
      <c r="F408" s="204"/>
      <c r="G408" s="206"/>
    </row>
    <row r="409" spans="2:7" ht="15" customHeight="1" x14ac:dyDescent="0.2">
      <c r="B409" s="203"/>
      <c r="C409" s="204"/>
      <c r="D409" s="205"/>
      <c r="E409" s="204"/>
      <c r="F409" s="204"/>
      <c r="G409" s="206"/>
    </row>
    <row r="410" spans="2:7" ht="15" customHeight="1" x14ac:dyDescent="0.2">
      <c r="B410" s="203"/>
      <c r="C410" s="204"/>
      <c r="D410" s="205"/>
      <c r="E410" s="204"/>
      <c r="F410" s="204"/>
      <c r="G410" s="206"/>
    </row>
    <row r="411" spans="2:7" ht="15" customHeight="1" x14ac:dyDescent="0.2">
      <c r="B411" s="203"/>
      <c r="C411" s="204"/>
      <c r="D411" s="205"/>
      <c r="E411" s="204"/>
      <c r="F411" s="204"/>
      <c r="G411" s="206"/>
    </row>
    <row r="412" spans="2:7" ht="15" customHeight="1" x14ac:dyDescent="0.2">
      <c r="B412" s="203"/>
      <c r="C412" s="204"/>
      <c r="D412" s="205"/>
      <c r="E412" s="204"/>
      <c r="F412" s="204"/>
      <c r="G412" s="206"/>
    </row>
    <row r="413" spans="2:7" ht="15" customHeight="1" x14ac:dyDescent="0.2">
      <c r="B413" s="203"/>
      <c r="C413" s="204"/>
      <c r="D413" s="205"/>
      <c r="E413" s="204"/>
      <c r="F413" s="204"/>
      <c r="G413" s="206"/>
    </row>
    <row r="414" spans="2:7" ht="15" customHeight="1" x14ac:dyDescent="0.2">
      <c r="B414" s="203"/>
      <c r="C414" s="204"/>
      <c r="D414" s="205"/>
      <c r="E414" s="204"/>
      <c r="F414" s="204"/>
      <c r="G414" s="206"/>
    </row>
    <row r="415" spans="2:7" ht="15" customHeight="1" x14ac:dyDescent="0.2">
      <c r="B415" s="203"/>
      <c r="C415" s="204"/>
      <c r="D415" s="205"/>
      <c r="E415" s="204"/>
      <c r="F415" s="204"/>
      <c r="G415" s="206"/>
    </row>
    <row r="416" spans="2:7" ht="15" customHeight="1" x14ac:dyDescent="0.2">
      <c r="B416" s="203"/>
      <c r="C416" s="204"/>
      <c r="D416" s="205"/>
      <c r="E416" s="204"/>
      <c r="F416" s="204"/>
      <c r="G416" s="206"/>
    </row>
    <row r="417" spans="2:7" ht="15" customHeight="1" x14ac:dyDescent="0.2">
      <c r="B417" s="203"/>
      <c r="C417" s="204"/>
      <c r="D417" s="205"/>
      <c r="E417" s="204"/>
      <c r="F417" s="204"/>
      <c r="G417" s="206"/>
    </row>
    <row r="418" spans="2:7" ht="15" customHeight="1" x14ac:dyDescent="0.2">
      <c r="B418" s="203"/>
      <c r="C418" s="204"/>
      <c r="D418" s="205"/>
      <c r="E418" s="204"/>
      <c r="F418" s="204"/>
      <c r="G418" s="206"/>
    </row>
    <row r="419" spans="2:7" ht="15" customHeight="1" x14ac:dyDescent="0.2">
      <c r="B419" s="203"/>
      <c r="C419" s="204"/>
      <c r="D419" s="205"/>
      <c r="E419" s="204"/>
      <c r="F419" s="204"/>
      <c r="G419" s="206"/>
    </row>
    <row r="420" spans="2:7" ht="15" customHeight="1" x14ac:dyDescent="0.2">
      <c r="B420" s="203"/>
      <c r="C420" s="204"/>
      <c r="D420" s="205"/>
      <c r="E420" s="204"/>
      <c r="F420" s="204"/>
      <c r="G420" s="206"/>
    </row>
    <row r="421" spans="2:7" ht="15" customHeight="1" x14ac:dyDescent="0.2">
      <c r="B421" s="203"/>
      <c r="C421" s="204"/>
      <c r="D421" s="205"/>
      <c r="E421" s="204"/>
      <c r="F421" s="204"/>
      <c r="G421" s="206"/>
    </row>
    <row r="422" spans="2:7" ht="15" customHeight="1" x14ac:dyDescent="0.2">
      <c r="B422" s="203"/>
      <c r="C422" s="204"/>
      <c r="D422" s="205"/>
      <c r="E422" s="204"/>
      <c r="F422" s="204"/>
      <c r="G422" s="206"/>
    </row>
    <row r="423" spans="2:7" ht="15" customHeight="1" x14ac:dyDescent="0.2">
      <c r="B423" s="203"/>
      <c r="C423" s="204"/>
      <c r="D423" s="205"/>
      <c r="E423" s="204"/>
      <c r="F423" s="204"/>
      <c r="G423" s="206"/>
    </row>
    <row r="424" spans="2:7" ht="15" customHeight="1" x14ac:dyDescent="0.2">
      <c r="B424" s="203"/>
      <c r="C424" s="204"/>
      <c r="D424" s="205"/>
      <c r="E424" s="204"/>
      <c r="F424" s="204"/>
      <c r="G424" s="206"/>
    </row>
    <row r="425" spans="2:7" ht="15" customHeight="1" x14ac:dyDescent="0.2">
      <c r="B425" s="203"/>
      <c r="C425" s="204"/>
      <c r="D425" s="205"/>
      <c r="E425" s="204"/>
      <c r="F425" s="204"/>
      <c r="G425" s="206"/>
    </row>
    <row r="426" spans="2:7" ht="15" customHeight="1" x14ac:dyDescent="0.2">
      <c r="B426" s="203"/>
      <c r="C426" s="204"/>
      <c r="D426" s="205"/>
      <c r="E426" s="204"/>
      <c r="F426" s="204"/>
      <c r="G426" s="206"/>
    </row>
    <row r="427" spans="2:7" ht="15" customHeight="1" x14ac:dyDescent="0.2">
      <c r="B427" s="203"/>
      <c r="C427" s="204"/>
      <c r="D427" s="205"/>
      <c r="E427" s="204"/>
      <c r="F427" s="204"/>
      <c r="G427" s="206"/>
    </row>
    <row r="428" spans="2:7" ht="15" customHeight="1" x14ac:dyDescent="0.2">
      <c r="B428" s="203"/>
      <c r="C428" s="204"/>
      <c r="D428" s="205"/>
      <c r="E428" s="204"/>
      <c r="F428" s="204"/>
      <c r="G428" s="206"/>
    </row>
    <row r="429" spans="2:7" ht="15" customHeight="1" x14ac:dyDescent="0.2">
      <c r="B429" s="203"/>
      <c r="C429" s="204"/>
      <c r="D429" s="205"/>
      <c r="E429" s="204"/>
      <c r="F429" s="204"/>
      <c r="G429" s="206"/>
    </row>
    <row r="430" spans="2:7" ht="15" customHeight="1" x14ac:dyDescent="0.2">
      <c r="B430" s="203"/>
      <c r="C430" s="204"/>
      <c r="D430" s="205"/>
      <c r="E430" s="204"/>
      <c r="F430" s="204"/>
      <c r="G430" s="206"/>
    </row>
    <row r="431" spans="2:7" ht="15" customHeight="1" x14ac:dyDescent="0.2">
      <c r="B431" s="203"/>
      <c r="C431" s="204"/>
      <c r="D431" s="205"/>
      <c r="E431" s="204"/>
      <c r="F431" s="204"/>
      <c r="G431" s="206"/>
    </row>
    <row r="432" spans="2:7" ht="15" customHeight="1" x14ac:dyDescent="0.2">
      <c r="B432" s="203"/>
      <c r="C432" s="204"/>
      <c r="D432" s="205"/>
      <c r="E432" s="204"/>
      <c r="F432" s="204"/>
      <c r="G432" s="206"/>
    </row>
    <row r="433" spans="2:7" ht="15" customHeight="1" x14ac:dyDescent="0.2">
      <c r="B433" s="203"/>
      <c r="C433" s="204"/>
      <c r="D433" s="205"/>
      <c r="E433" s="204"/>
      <c r="F433" s="204"/>
      <c r="G433" s="206"/>
    </row>
    <row r="434" spans="2:7" ht="15" customHeight="1" x14ac:dyDescent="0.2">
      <c r="B434" s="203"/>
      <c r="C434" s="204"/>
      <c r="D434" s="205"/>
      <c r="E434" s="204"/>
      <c r="F434" s="204"/>
      <c r="G434" s="206"/>
    </row>
    <row r="435" spans="2:7" ht="15" customHeight="1" x14ac:dyDescent="0.2">
      <c r="B435" s="203"/>
      <c r="C435" s="204"/>
      <c r="D435" s="205"/>
      <c r="E435" s="204"/>
      <c r="F435" s="204"/>
      <c r="G435" s="206"/>
    </row>
    <row r="436" spans="2:7" ht="15" customHeight="1" x14ac:dyDescent="0.2">
      <c r="B436" s="203"/>
      <c r="C436" s="204"/>
      <c r="D436" s="205"/>
      <c r="E436" s="204"/>
      <c r="F436" s="204"/>
      <c r="G436" s="206"/>
    </row>
    <row r="437" spans="2:7" ht="15" customHeight="1" x14ac:dyDescent="0.2">
      <c r="B437" s="203"/>
      <c r="C437" s="204"/>
      <c r="D437" s="205"/>
      <c r="E437" s="204"/>
      <c r="F437" s="204"/>
      <c r="G437" s="206"/>
    </row>
    <row r="438" spans="2:7" ht="15" customHeight="1" x14ac:dyDescent="0.2">
      <c r="B438" s="203"/>
      <c r="C438" s="204"/>
      <c r="D438" s="205"/>
      <c r="E438" s="204"/>
      <c r="F438" s="204"/>
      <c r="G438" s="206"/>
    </row>
    <row r="439" spans="2:7" ht="15" customHeight="1" x14ac:dyDescent="0.2">
      <c r="B439" s="203"/>
      <c r="C439" s="204"/>
      <c r="D439" s="205"/>
      <c r="E439" s="204"/>
      <c r="F439" s="204"/>
      <c r="G439" s="206"/>
    </row>
    <row r="440" spans="2:7" ht="15" customHeight="1" x14ac:dyDescent="0.2">
      <c r="B440" s="203"/>
      <c r="C440" s="204"/>
      <c r="D440" s="205"/>
      <c r="E440" s="204"/>
      <c r="F440" s="204"/>
      <c r="G440" s="206"/>
    </row>
    <row r="441" spans="2:7" ht="15" customHeight="1" x14ac:dyDescent="0.2">
      <c r="B441" s="203"/>
      <c r="C441" s="204"/>
      <c r="D441" s="205"/>
      <c r="E441" s="204"/>
      <c r="F441" s="204"/>
      <c r="G441" s="206"/>
    </row>
    <row r="442" spans="2:7" ht="15" customHeight="1" x14ac:dyDescent="0.2">
      <c r="B442" s="203"/>
      <c r="C442" s="204"/>
      <c r="D442" s="205"/>
      <c r="E442" s="204"/>
      <c r="F442" s="204"/>
      <c r="G442" s="206"/>
    </row>
    <row r="443" spans="2:7" ht="15" customHeight="1" x14ac:dyDescent="0.2">
      <c r="B443" s="203"/>
      <c r="C443" s="204"/>
      <c r="D443" s="205"/>
      <c r="E443" s="204"/>
      <c r="F443" s="204"/>
      <c r="G443" s="206"/>
    </row>
    <row r="444" spans="2:7" ht="15" customHeight="1" x14ac:dyDescent="0.2">
      <c r="B444" s="203"/>
      <c r="C444" s="204"/>
      <c r="D444" s="205"/>
      <c r="E444" s="204"/>
      <c r="F444" s="204"/>
      <c r="G444" s="206"/>
    </row>
    <row r="445" spans="2:7" ht="15" customHeight="1" x14ac:dyDescent="0.2">
      <c r="B445" s="203"/>
      <c r="C445" s="204"/>
      <c r="D445" s="205"/>
      <c r="E445" s="204"/>
      <c r="F445" s="204"/>
      <c r="G445" s="206"/>
    </row>
    <row r="446" spans="2:7" ht="15" customHeight="1" x14ac:dyDescent="0.2">
      <c r="B446" s="203"/>
      <c r="C446" s="204"/>
      <c r="D446" s="205"/>
      <c r="E446" s="204"/>
      <c r="F446" s="204"/>
      <c r="G446" s="206"/>
    </row>
    <row r="447" spans="2:7" ht="15" customHeight="1" x14ac:dyDescent="0.2">
      <c r="B447" s="203"/>
      <c r="C447" s="204"/>
      <c r="D447" s="205"/>
      <c r="E447" s="204"/>
      <c r="F447" s="204"/>
      <c r="G447" s="206"/>
    </row>
    <row r="448" spans="2:7" ht="15" customHeight="1" x14ac:dyDescent="0.2">
      <c r="B448" s="203"/>
      <c r="C448" s="204"/>
      <c r="D448" s="205"/>
      <c r="E448" s="204"/>
      <c r="F448" s="204"/>
      <c r="G448" s="206"/>
    </row>
    <row r="449" spans="2:7" ht="15" customHeight="1" x14ac:dyDescent="0.2">
      <c r="B449" s="203"/>
      <c r="C449" s="204"/>
      <c r="D449" s="205"/>
      <c r="E449" s="204"/>
      <c r="F449" s="204"/>
      <c r="G449" s="206"/>
    </row>
    <row r="450" spans="2:7" ht="15" customHeight="1" x14ac:dyDescent="0.2">
      <c r="B450" s="203"/>
      <c r="C450" s="204"/>
      <c r="D450" s="205"/>
      <c r="E450" s="204"/>
      <c r="F450" s="204"/>
      <c r="G450" s="206"/>
    </row>
    <row r="451" spans="2:7" ht="15" customHeight="1" x14ac:dyDescent="0.2">
      <c r="B451" s="203"/>
      <c r="C451" s="204"/>
      <c r="D451" s="205"/>
      <c r="E451" s="204"/>
      <c r="F451" s="204"/>
      <c r="G451" s="206"/>
    </row>
    <row r="452" spans="2:7" ht="15" customHeight="1" x14ac:dyDescent="0.2">
      <c r="B452" s="203"/>
      <c r="C452" s="204"/>
      <c r="D452" s="205"/>
      <c r="E452" s="204"/>
      <c r="F452" s="204"/>
      <c r="G452" s="206"/>
    </row>
    <row r="453" spans="2:7" ht="15" customHeight="1" x14ac:dyDescent="0.2">
      <c r="B453" s="203"/>
      <c r="C453" s="204"/>
      <c r="D453" s="205"/>
      <c r="E453" s="204"/>
      <c r="F453" s="204"/>
      <c r="G453" s="206"/>
    </row>
    <row r="454" spans="2:7" ht="15" customHeight="1" x14ac:dyDescent="0.2">
      <c r="B454" s="203"/>
      <c r="C454" s="204"/>
      <c r="D454" s="205"/>
      <c r="E454" s="204"/>
      <c r="F454" s="204"/>
      <c r="G454" s="206"/>
    </row>
    <row r="455" spans="2:7" ht="15" customHeight="1" x14ac:dyDescent="0.2">
      <c r="B455" s="203"/>
      <c r="C455" s="204"/>
      <c r="D455" s="205"/>
      <c r="E455" s="204"/>
      <c r="F455" s="204"/>
      <c r="G455" s="206"/>
    </row>
    <row r="456" spans="2:7" ht="15" customHeight="1" x14ac:dyDescent="0.2">
      <c r="B456" s="203"/>
      <c r="C456" s="204"/>
      <c r="D456" s="205"/>
      <c r="E456" s="204"/>
      <c r="F456" s="204"/>
      <c r="G456" s="206"/>
    </row>
    <row r="457" spans="2:7" ht="15" customHeight="1" x14ac:dyDescent="0.2">
      <c r="B457" s="203"/>
      <c r="C457" s="204"/>
      <c r="D457" s="205"/>
      <c r="E457" s="204"/>
      <c r="F457" s="204"/>
      <c r="G457" s="206"/>
    </row>
    <row r="458" spans="2:7" ht="15" customHeight="1" x14ac:dyDescent="0.2">
      <c r="B458" s="203"/>
      <c r="C458" s="204"/>
      <c r="D458" s="205"/>
      <c r="E458" s="204"/>
      <c r="F458" s="204"/>
      <c r="G458" s="206"/>
    </row>
    <row r="459" spans="2:7" ht="15" customHeight="1" x14ac:dyDescent="0.2">
      <c r="B459" s="203"/>
      <c r="C459" s="204"/>
      <c r="D459" s="205"/>
      <c r="E459" s="204"/>
      <c r="F459" s="204"/>
      <c r="G459" s="206"/>
    </row>
    <row r="460" spans="2:7" ht="15" customHeight="1" x14ac:dyDescent="0.2">
      <c r="B460" s="203"/>
      <c r="C460" s="204"/>
      <c r="D460" s="205"/>
      <c r="E460" s="204"/>
      <c r="F460" s="204"/>
      <c r="G460" s="206"/>
    </row>
    <row r="461" spans="2:7" ht="15" customHeight="1" x14ac:dyDescent="0.2">
      <c r="B461" s="203"/>
      <c r="C461" s="204"/>
      <c r="D461" s="205"/>
      <c r="E461" s="204"/>
      <c r="F461" s="204"/>
      <c r="G461" s="206"/>
    </row>
    <row r="462" spans="2:7" ht="15" customHeight="1" x14ac:dyDescent="0.2">
      <c r="B462" s="203"/>
      <c r="C462" s="204"/>
      <c r="D462" s="205"/>
      <c r="E462" s="204"/>
      <c r="F462" s="204"/>
      <c r="G462" s="206"/>
    </row>
    <row r="463" spans="2:7" ht="15" customHeight="1" x14ac:dyDescent="0.2">
      <c r="B463" s="203"/>
      <c r="C463" s="204"/>
      <c r="D463" s="205"/>
      <c r="E463" s="204"/>
      <c r="F463" s="204"/>
      <c r="G463" s="206"/>
    </row>
    <row r="464" spans="2:7" ht="15" customHeight="1" x14ac:dyDescent="0.2">
      <c r="B464" s="203"/>
      <c r="C464" s="204"/>
      <c r="D464" s="205"/>
      <c r="E464" s="204"/>
      <c r="F464" s="204"/>
      <c r="G464" s="206"/>
    </row>
    <row r="465" spans="2:7" ht="15" customHeight="1" x14ac:dyDescent="0.2">
      <c r="B465" s="203"/>
      <c r="C465" s="204"/>
      <c r="D465" s="205"/>
      <c r="E465" s="204"/>
      <c r="F465" s="204"/>
      <c r="G465" s="206"/>
    </row>
    <row r="466" spans="2:7" ht="15" customHeight="1" x14ac:dyDescent="0.2">
      <c r="B466" s="203"/>
      <c r="C466" s="204"/>
      <c r="D466" s="205"/>
      <c r="E466" s="204"/>
      <c r="F466" s="204"/>
      <c r="G466" s="206"/>
    </row>
    <row r="467" spans="2:7" ht="15" customHeight="1" x14ac:dyDescent="0.2">
      <c r="B467" s="203"/>
      <c r="C467" s="204"/>
      <c r="D467" s="205"/>
      <c r="E467" s="204"/>
      <c r="F467" s="204"/>
      <c r="G467" s="206"/>
    </row>
    <row r="468" spans="2:7" ht="15" customHeight="1" x14ac:dyDescent="0.2">
      <c r="B468" s="203"/>
      <c r="C468" s="204"/>
      <c r="D468" s="205"/>
      <c r="E468" s="204"/>
      <c r="F468" s="204"/>
      <c r="G468" s="206"/>
    </row>
    <row r="469" spans="2:7" ht="15" customHeight="1" x14ac:dyDescent="0.2">
      <c r="B469" s="203"/>
      <c r="C469" s="204"/>
      <c r="D469" s="205"/>
      <c r="E469" s="204"/>
      <c r="F469" s="204"/>
      <c r="G469" s="206"/>
    </row>
    <row r="470" spans="2:7" ht="15" customHeight="1" x14ac:dyDescent="0.2">
      <c r="B470" s="203"/>
      <c r="C470" s="204"/>
      <c r="D470" s="205"/>
      <c r="E470" s="204"/>
      <c r="F470" s="204"/>
      <c r="G470" s="206"/>
    </row>
    <row r="471" spans="2:7" ht="15" customHeight="1" x14ac:dyDescent="0.2">
      <c r="B471" s="203"/>
      <c r="C471" s="204"/>
      <c r="D471" s="205"/>
      <c r="E471" s="204"/>
      <c r="F471" s="204"/>
      <c r="G471" s="206"/>
    </row>
    <row r="472" spans="2:7" ht="15" customHeight="1" x14ac:dyDescent="0.2">
      <c r="B472" s="203"/>
      <c r="C472" s="204"/>
      <c r="D472" s="205"/>
      <c r="E472" s="204"/>
      <c r="F472" s="204"/>
      <c r="G472" s="206"/>
    </row>
    <row r="473" spans="2:7" ht="15" customHeight="1" x14ac:dyDescent="0.2">
      <c r="B473" s="203"/>
      <c r="C473" s="204"/>
      <c r="D473" s="205"/>
      <c r="E473" s="204"/>
      <c r="F473" s="204"/>
      <c r="G473" s="206"/>
    </row>
    <row r="474" spans="2:7" ht="15" customHeight="1" x14ac:dyDescent="0.2">
      <c r="B474" s="203"/>
      <c r="C474" s="204"/>
      <c r="D474" s="205"/>
      <c r="E474" s="204"/>
      <c r="F474" s="204"/>
      <c r="G474" s="206"/>
    </row>
    <row r="475" spans="2:7" ht="15" customHeight="1" x14ac:dyDescent="0.2">
      <c r="B475" s="203"/>
      <c r="C475" s="204"/>
      <c r="D475" s="205"/>
      <c r="E475" s="204"/>
      <c r="F475" s="204"/>
      <c r="G475" s="206"/>
    </row>
    <row r="476" spans="2:7" ht="15" customHeight="1" x14ac:dyDescent="0.2">
      <c r="B476" s="203"/>
      <c r="C476" s="204"/>
      <c r="D476" s="205"/>
      <c r="E476" s="204"/>
      <c r="F476" s="204"/>
      <c r="G476" s="206"/>
    </row>
    <row r="477" spans="2:7" ht="15" customHeight="1" x14ac:dyDescent="0.2">
      <c r="B477" s="203"/>
      <c r="C477" s="204"/>
      <c r="D477" s="205"/>
      <c r="E477" s="204"/>
      <c r="F477" s="204"/>
      <c r="G477" s="206"/>
    </row>
    <row r="478" spans="2:7" ht="15" customHeight="1" x14ac:dyDescent="0.2">
      <c r="B478" s="203"/>
      <c r="C478" s="204"/>
      <c r="D478" s="205"/>
      <c r="E478" s="204"/>
      <c r="F478" s="204"/>
      <c r="G478" s="206"/>
    </row>
    <row r="479" spans="2:7" ht="15" customHeight="1" x14ac:dyDescent="0.2">
      <c r="B479" s="203"/>
      <c r="C479" s="204"/>
      <c r="D479" s="205"/>
      <c r="E479" s="204"/>
      <c r="F479" s="204"/>
      <c r="G479" s="206"/>
    </row>
    <row r="480" spans="2:7" ht="15" customHeight="1" x14ac:dyDescent="0.2">
      <c r="B480" s="203"/>
      <c r="C480" s="204"/>
      <c r="D480" s="205"/>
      <c r="E480" s="204"/>
      <c r="F480" s="204"/>
      <c r="G480" s="206"/>
    </row>
    <row r="481" spans="2:7" ht="15" customHeight="1" x14ac:dyDescent="0.2">
      <c r="B481" s="203"/>
      <c r="C481" s="204"/>
      <c r="D481" s="205"/>
      <c r="E481" s="204"/>
      <c r="F481" s="204"/>
      <c r="G481" s="206"/>
    </row>
    <row r="482" spans="2:7" ht="15" customHeight="1" x14ac:dyDescent="0.2">
      <c r="B482" s="203"/>
      <c r="C482" s="204"/>
      <c r="D482" s="205"/>
      <c r="E482" s="204"/>
      <c r="F482" s="204"/>
      <c r="G482" s="206"/>
    </row>
    <row r="483" spans="2:7" ht="15" customHeight="1" x14ac:dyDescent="0.2">
      <c r="B483" s="203"/>
      <c r="C483" s="204"/>
      <c r="D483" s="205"/>
      <c r="E483" s="204"/>
      <c r="F483" s="204"/>
      <c r="G483" s="206"/>
    </row>
    <row r="484" spans="2:7" ht="15" customHeight="1" x14ac:dyDescent="0.2">
      <c r="B484" s="203"/>
      <c r="C484" s="204"/>
      <c r="D484" s="205"/>
      <c r="E484" s="204"/>
      <c r="F484" s="204"/>
      <c r="G484" s="206"/>
    </row>
    <row r="485" spans="2:7" ht="15" customHeight="1" x14ac:dyDescent="0.2">
      <c r="B485" s="203"/>
      <c r="C485" s="204"/>
      <c r="D485" s="205"/>
      <c r="E485" s="204"/>
      <c r="F485" s="204"/>
      <c r="G485" s="206"/>
    </row>
    <row r="486" spans="2:7" ht="15" customHeight="1" x14ac:dyDescent="0.2">
      <c r="B486" s="203"/>
      <c r="C486" s="204"/>
      <c r="D486" s="205"/>
      <c r="E486" s="204"/>
      <c r="F486" s="204"/>
      <c r="G486" s="206"/>
    </row>
    <row r="487" spans="2:7" ht="15" customHeight="1" x14ac:dyDescent="0.2">
      <c r="B487" s="203"/>
      <c r="C487" s="204"/>
      <c r="D487" s="205"/>
      <c r="E487" s="204"/>
      <c r="F487" s="204"/>
      <c r="G487" s="206"/>
    </row>
    <row r="488" spans="2:7" ht="15" customHeight="1" x14ac:dyDescent="0.2">
      <c r="B488" s="203"/>
      <c r="C488" s="204"/>
      <c r="D488" s="205"/>
      <c r="E488" s="204"/>
      <c r="F488" s="204"/>
      <c r="G488" s="206"/>
    </row>
    <row r="489" spans="2:7" ht="15" customHeight="1" x14ac:dyDescent="0.2">
      <c r="B489" s="203"/>
      <c r="C489" s="204"/>
      <c r="D489" s="205"/>
      <c r="E489" s="204"/>
      <c r="F489" s="204"/>
      <c r="G489" s="206"/>
    </row>
    <row r="490" spans="2:7" ht="15" customHeight="1" x14ac:dyDescent="0.2">
      <c r="B490" s="203"/>
      <c r="C490" s="204"/>
      <c r="D490" s="205"/>
      <c r="E490" s="204"/>
      <c r="F490" s="204"/>
      <c r="G490" s="206"/>
    </row>
    <row r="491" spans="2:7" ht="15" customHeight="1" x14ac:dyDescent="0.2">
      <c r="B491" s="203"/>
      <c r="C491" s="204"/>
      <c r="D491" s="205"/>
      <c r="E491" s="204"/>
      <c r="F491" s="204"/>
      <c r="G491" s="206"/>
    </row>
    <row r="492" spans="2:7" ht="15" customHeight="1" x14ac:dyDescent="0.2">
      <c r="B492" s="203"/>
      <c r="C492" s="204"/>
      <c r="D492" s="205"/>
      <c r="E492" s="204"/>
      <c r="F492" s="204"/>
      <c r="G492" s="206"/>
    </row>
    <row r="493" spans="2:7" ht="15" customHeight="1" x14ac:dyDescent="0.2">
      <c r="B493" s="203"/>
      <c r="C493" s="204"/>
      <c r="D493" s="205"/>
      <c r="E493" s="204"/>
      <c r="F493" s="204"/>
      <c r="G493" s="206"/>
    </row>
    <row r="494" spans="2:7" ht="15" customHeight="1" x14ac:dyDescent="0.2">
      <c r="B494" s="203"/>
      <c r="C494" s="204"/>
      <c r="D494" s="205"/>
      <c r="E494" s="204"/>
      <c r="F494" s="204"/>
      <c r="G494" s="206"/>
    </row>
    <row r="495" spans="2:7" ht="15" customHeight="1" x14ac:dyDescent="0.2">
      <c r="B495" s="203"/>
      <c r="C495" s="204"/>
      <c r="D495" s="205"/>
      <c r="E495" s="204"/>
      <c r="F495" s="204"/>
      <c r="G495" s="206"/>
    </row>
    <row r="496" spans="2:7" ht="15" customHeight="1" x14ac:dyDescent="0.2">
      <c r="B496" s="203"/>
      <c r="C496" s="204"/>
      <c r="D496" s="205"/>
      <c r="E496" s="204"/>
      <c r="F496" s="204"/>
      <c r="G496" s="206"/>
    </row>
    <row r="497" spans="2:7" ht="15" customHeight="1" x14ac:dyDescent="0.2">
      <c r="B497" s="203"/>
      <c r="C497" s="204"/>
      <c r="D497" s="205"/>
      <c r="E497" s="204"/>
      <c r="F497" s="204"/>
      <c r="G497" s="206"/>
    </row>
    <row r="498" spans="2:7" ht="15" customHeight="1" x14ac:dyDescent="0.2">
      <c r="B498" s="203"/>
      <c r="C498" s="204"/>
      <c r="D498" s="205"/>
      <c r="E498" s="204"/>
      <c r="F498" s="204"/>
      <c r="G498" s="206"/>
    </row>
    <row r="499" spans="2:7" ht="15" customHeight="1" x14ac:dyDescent="0.2">
      <c r="B499" s="203"/>
      <c r="C499" s="204"/>
      <c r="D499" s="205"/>
      <c r="E499" s="204"/>
      <c r="F499" s="204"/>
      <c r="G499" s="206"/>
    </row>
    <row r="500" spans="2:7" ht="15" customHeight="1" x14ac:dyDescent="0.2">
      <c r="B500" s="203"/>
      <c r="C500" s="204"/>
      <c r="D500" s="205"/>
      <c r="E500" s="204"/>
      <c r="F500" s="204"/>
      <c r="G500" s="206"/>
    </row>
    <row r="501" spans="2:7" ht="15" customHeight="1" x14ac:dyDescent="0.2">
      <c r="B501" s="203"/>
      <c r="C501" s="204"/>
      <c r="D501" s="205"/>
      <c r="E501" s="204"/>
      <c r="F501" s="204"/>
      <c r="G501" s="206"/>
    </row>
    <row r="502" spans="2:7" ht="15" customHeight="1" x14ac:dyDescent="0.2">
      <c r="B502" s="203"/>
      <c r="C502" s="204"/>
      <c r="D502" s="205"/>
      <c r="E502" s="204"/>
      <c r="F502" s="204"/>
      <c r="G502" s="206"/>
    </row>
    <row r="503" spans="2:7" ht="15" customHeight="1" x14ac:dyDescent="0.2">
      <c r="B503" s="203"/>
      <c r="C503" s="204"/>
      <c r="D503" s="205"/>
      <c r="E503" s="204"/>
      <c r="F503" s="204"/>
      <c r="G503" s="206"/>
    </row>
    <row r="504" spans="2:7" ht="15" customHeight="1" x14ac:dyDescent="0.2">
      <c r="B504" s="203"/>
      <c r="C504" s="204"/>
      <c r="D504" s="205"/>
      <c r="E504" s="204"/>
      <c r="F504" s="204"/>
      <c r="G504" s="206"/>
    </row>
    <row r="505" spans="2:7" ht="15" customHeight="1" x14ac:dyDescent="0.2">
      <c r="B505" s="203"/>
      <c r="C505" s="204"/>
      <c r="D505" s="205"/>
      <c r="E505" s="204"/>
      <c r="F505" s="204"/>
      <c r="G505" s="206"/>
    </row>
    <row r="506" spans="2:7" ht="15" customHeight="1" x14ac:dyDescent="0.2">
      <c r="B506" s="203"/>
      <c r="C506" s="204"/>
      <c r="D506" s="205"/>
      <c r="E506" s="204"/>
      <c r="F506" s="204"/>
      <c r="G506" s="206"/>
    </row>
    <row r="507" spans="2:7" ht="15" customHeight="1" x14ac:dyDescent="0.2">
      <c r="B507" s="203"/>
      <c r="C507" s="204"/>
      <c r="D507" s="205"/>
      <c r="E507" s="204"/>
      <c r="F507" s="204"/>
      <c r="G507" s="206"/>
    </row>
    <row r="508" spans="2:7" ht="15" customHeight="1" x14ac:dyDescent="0.2">
      <c r="B508" s="203"/>
      <c r="C508" s="204"/>
      <c r="D508" s="205"/>
      <c r="E508" s="204"/>
      <c r="F508" s="204"/>
      <c r="G508" s="206"/>
    </row>
    <row r="509" spans="2:7" ht="15" customHeight="1" x14ac:dyDescent="0.2">
      <c r="B509" s="203"/>
      <c r="C509" s="204"/>
      <c r="D509" s="205"/>
      <c r="E509" s="204"/>
      <c r="F509" s="204"/>
      <c r="G509" s="206"/>
    </row>
    <row r="510" spans="2:7" ht="15" customHeight="1" x14ac:dyDescent="0.2">
      <c r="B510" s="203"/>
      <c r="C510" s="204"/>
      <c r="D510" s="205"/>
      <c r="E510" s="204"/>
      <c r="F510" s="204"/>
      <c r="G510" s="206"/>
    </row>
    <row r="511" spans="2:7" ht="15" customHeight="1" x14ac:dyDescent="0.2">
      <c r="B511" s="203"/>
      <c r="C511" s="204"/>
      <c r="D511" s="205"/>
      <c r="E511" s="204"/>
      <c r="F511" s="204"/>
      <c r="G511" s="206"/>
    </row>
    <row r="512" spans="2:7" ht="15" customHeight="1" x14ac:dyDescent="0.2">
      <c r="B512" s="203"/>
      <c r="C512" s="204"/>
      <c r="D512" s="205"/>
      <c r="E512" s="204"/>
      <c r="F512" s="204"/>
      <c r="G512" s="206"/>
    </row>
    <row r="513" spans="2:7" ht="15" customHeight="1" x14ac:dyDescent="0.2">
      <c r="B513" s="203"/>
      <c r="C513" s="204"/>
      <c r="D513" s="205"/>
      <c r="E513" s="204"/>
      <c r="F513" s="204"/>
      <c r="G513" s="206"/>
    </row>
    <row r="514" spans="2:7" ht="15" customHeight="1" x14ac:dyDescent="0.2">
      <c r="B514" s="203"/>
      <c r="C514" s="204"/>
      <c r="D514" s="205"/>
      <c r="E514" s="204"/>
      <c r="F514" s="204"/>
      <c r="G514" s="206"/>
    </row>
    <row r="515" spans="2:7" ht="15" customHeight="1" x14ac:dyDescent="0.2">
      <c r="B515" s="203"/>
      <c r="C515" s="204"/>
      <c r="D515" s="205"/>
      <c r="E515" s="204"/>
      <c r="F515" s="204"/>
      <c r="G515" s="206"/>
    </row>
    <row r="516" spans="2:7" ht="15" customHeight="1" x14ac:dyDescent="0.2">
      <c r="B516" s="203"/>
      <c r="C516" s="204"/>
      <c r="D516" s="205"/>
      <c r="E516" s="204"/>
      <c r="F516" s="204"/>
      <c r="G516" s="206"/>
    </row>
    <row r="517" spans="2:7" ht="15" customHeight="1" x14ac:dyDescent="0.2">
      <c r="B517" s="203"/>
      <c r="C517" s="204"/>
      <c r="D517" s="205"/>
      <c r="E517" s="204"/>
      <c r="F517" s="204"/>
      <c r="G517" s="206"/>
    </row>
    <row r="518" spans="2:7" ht="15" customHeight="1" x14ac:dyDescent="0.2">
      <c r="B518" s="203"/>
      <c r="C518" s="204"/>
      <c r="D518" s="205"/>
      <c r="E518" s="204"/>
      <c r="F518" s="204"/>
      <c r="G518" s="206"/>
    </row>
    <row r="519" spans="2:7" ht="15" customHeight="1" x14ac:dyDescent="0.2">
      <c r="B519" s="203"/>
      <c r="C519" s="204"/>
      <c r="D519" s="205"/>
      <c r="E519" s="204"/>
      <c r="F519" s="204"/>
      <c r="G519" s="206"/>
    </row>
    <row r="520" spans="2:7" ht="15" customHeight="1" x14ac:dyDescent="0.2">
      <c r="B520" s="203"/>
      <c r="C520" s="204"/>
      <c r="D520" s="205"/>
      <c r="E520" s="204"/>
      <c r="F520" s="204"/>
      <c r="G520" s="206"/>
    </row>
    <row r="521" spans="2:7" ht="15" customHeight="1" x14ac:dyDescent="0.2">
      <c r="B521" s="203"/>
      <c r="C521" s="204"/>
      <c r="D521" s="205"/>
      <c r="E521" s="204"/>
      <c r="F521" s="204"/>
      <c r="G521" s="206"/>
    </row>
    <row r="522" spans="2:7" ht="15" customHeight="1" x14ac:dyDescent="0.2">
      <c r="B522" s="203"/>
      <c r="C522" s="204"/>
      <c r="D522" s="205"/>
      <c r="E522" s="204"/>
      <c r="F522" s="204"/>
      <c r="G522" s="206"/>
    </row>
    <row r="523" spans="2:7" ht="15" customHeight="1" x14ac:dyDescent="0.2">
      <c r="B523" s="203"/>
      <c r="C523" s="204"/>
      <c r="D523" s="205"/>
      <c r="E523" s="204"/>
      <c r="F523" s="204"/>
      <c r="G523" s="206"/>
    </row>
    <row r="524" spans="2:7" ht="15" customHeight="1" x14ac:dyDescent="0.2">
      <c r="B524" s="203"/>
      <c r="C524" s="204"/>
      <c r="D524" s="205"/>
      <c r="E524" s="204"/>
      <c r="F524" s="204"/>
      <c r="G524" s="206"/>
    </row>
    <row r="525" spans="2:7" ht="15" customHeight="1" x14ac:dyDescent="0.2">
      <c r="B525" s="203"/>
      <c r="C525" s="204"/>
      <c r="D525" s="205"/>
      <c r="E525" s="204"/>
      <c r="F525" s="204"/>
      <c r="G525" s="206"/>
    </row>
    <row r="526" spans="2:7" ht="15" customHeight="1" x14ac:dyDescent="0.2">
      <c r="B526" s="203"/>
      <c r="C526" s="204"/>
      <c r="D526" s="205"/>
      <c r="E526" s="204"/>
      <c r="F526" s="204"/>
      <c r="G526" s="206"/>
    </row>
    <row r="527" spans="2:7" ht="15" customHeight="1" x14ac:dyDescent="0.2">
      <c r="B527" s="203"/>
      <c r="C527" s="204"/>
      <c r="D527" s="205"/>
      <c r="E527" s="204"/>
      <c r="F527" s="204"/>
      <c r="G527" s="206"/>
    </row>
    <row r="528" spans="2:7" ht="15" customHeight="1" x14ac:dyDescent="0.2">
      <c r="B528" s="203"/>
      <c r="C528" s="204"/>
      <c r="D528" s="205"/>
      <c r="E528" s="204"/>
      <c r="F528" s="204"/>
      <c r="G528" s="206"/>
    </row>
    <row r="529" spans="2:7" ht="15" customHeight="1" x14ac:dyDescent="0.2">
      <c r="B529" s="203"/>
      <c r="C529" s="204"/>
      <c r="D529" s="205"/>
      <c r="E529" s="204"/>
      <c r="F529" s="204"/>
      <c r="G529" s="206"/>
    </row>
    <row r="530" spans="2:7" ht="15" customHeight="1" x14ac:dyDescent="0.2">
      <c r="B530" s="203"/>
      <c r="C530" s="204"/>
      <c r="D530" s="205"/>
      <c r="E530" s="204"/>
      <c r="F530" s="204"/>
      <c r="G530" s="206"/>
    </row>
    <row r="531" spans="2:7" ht="15" customHeight="1" x14ac:dyDescent="0.2">
      <c r="B531" s="203"/>
      <c r="C531" s="204"/>
      <c r="D531" s="205"/>
      <c r="E531" s="204"/>
      <c r="F531" s="204"/>
      <c r="G531" s="206"/>
    </row>
    <row r="532" spans="2:7" ht="15" customHeight="1" x14ac:dyDescent="0.2">
      <c r="B532" s="203"/>
      <c r="C532" s="204"/>
      <c r="D532" s="205"/>
      <c r="E532" s="204"/>
      <c r="F532" s="204"/>
      <c r="G532" s="206"/>
    </row>
    <row r="533" spans="2:7" ht="15" customHeight="1" x14ac:dyDescent="0.2">
      <c r="B533" s="203"/>
      <c r="C533" s="204"/>
      <c r="D533" s="205"/>
      <c r="E533" s="204"/>
      <c r="F533" s="204"/>
      <c r="G533" s="206"/>
    </row>
    <row r="534" spans="2:7" ht="15" customHeight="1" x14ac:dyDescent="0.2">
      <c r="B534" s="203"/>
      <c r="C534" s="204"/>
      <c r="D534" s="205"/>
      <c r="E534" s="204"/>
      <c r="F534" s="204"/>
      <c r="G534" s="206"/>
    </row>
    <row r="535" spans="2:7" ht="15" customHeight="1" x14ac:dyDescent="0.2">
      <c r="B535" s="203"/>
      <c r="C535" s="204"/>
      <c r="D535" s="205"/>
      <c r="E535" s="204"/>
      <c r="F535" s="204"/>
      <c r="G535" s="206"/>
    </row>
    <row r="536" spans="2:7" ht="15" customHeight="1" x14ac:dyDescent="0.2">
      <c r="B536" s="203"/>
      <c r="C536" s="204"/>
      <c r="D536" s="205"/>
      <c r="E536" s="204"/>
      <c r="F536" s="204"/>
      <c r="G536" s="206"/>
    </row>
    <row r="537" spans="2:7" ht="15" customHeight="1" x14ac:dyDescent="0.2">
      <c r="B537" s="203"/>
      <c r="C537" s="204"/>
      <c r="D537" s="205"/>
      <c r="E537" s="204"/>
      <c r="F537" s="204"/>
      <c r="G537" s="206"/>
    </row>
    <row r="538" spans="2:7" ht="15" customHeight="1" x14ac:dyDescent="0.2">
      <c r="B538" s="203"/>
      <c r="C538" s="204"/>
      <c r="D538" s="205"/>
      <c r="E538" s="204"/>
      <c r="F538" s="204"/>
      <c r="G538" s="206"/>
    </row>
    <row r="539" spans="2:7" ht="15" customHeight="1" x14ac:dyDescent="0.2">
      <c r="B539" s="203"/>
      <c r="C539" s="204"/>
      <c r="D539" s="205"/>
      <c r="E539" s="204"/>
      <c r="F539" s="204"/>
      <c r="G539" s="206"/>
    </row>
    <row r="540" spans="2:7" ht="15" customHeight="1" x14ac:dyDescent="0.2">
      <c r="B540" s="203"/>
      <c r="C540" s="204"/>
      <c r="D540" s="205"/>
      <c r="E540" s="204"/>
      <c r="F540" s="204"/>
      <c r="G540" s="206"/>
    </row>
    <row r="541" spans="2:7" ht="15" customHeight="1" x14ac:dyDescent="0.2">
      <c r="B541" s="203"/>
      <c r="C541" s="204"/>
      <c r="D541" s="205"/>
      <c r="E541" s="204"/>
      <c r="F541" s="204"/>
      <c r="G541" s="206"/>
    </row>
    <row r="542" spans="2:7" ht="15" customHeight="1" x14ac:dyDescent="0.2">
      <c r="B542" s="203"/>
      <c r="C542" s="204"/>
      <c r="D542" s="205"/>
      <c r="E542" s="204"/>
      <c r="F542" s="204"/>
      <c r="G542" s="206"/>
    </row>
    <row r="543" spans="2:7" ht="15" customHeight="1" x14ac:dyDescent="0.2">
      <c r="B543" s="203"/>
      <c r="C543" s="204"/>
      <c r="D543" s="205"/>
      <c r="E543" s="204"/>
      <c r="F543" s="204"/>
      <c r="G543" s="206"/>
    </row>
    <row r="544" spans="2:7" ht="15" customHeight="1" x14ac:dyDescent="0.2">
      <c r="B544" s="203"/>
      <c r="C544" s="204"/>
      <c r="D544" s="205"/>
      <c r="E544" s="204"/>
      <c r="F544" s="204"/>
      <c r="G544" s="206"/>
    </row>
    <row r="545" spans="2:7" ht="15" customHeight="1" x14ac:dyDescent="0.2">
      <c r="B545" s="203"/>
      <c r="C545" s="204"/>
      <c r="D545" s="205"/>
      <c r="E545" s="204"/>
      <c r="F545" s="204"/>
      <c r="G545" s="206"/>
    </row>
    <row r="546" spans="2:7" ht="15" customHeight="1" x14ac:dyDescent="0.2">
      <c r="B546" s="203"/>
      <c r="C546" s="204"/>
      <c r="D546" s="205"/>
      <c r="E546" s="204"/>
      <c r="F546" s="204"/>
      <c r="G546" s="206"/>
    </row>
    <row r="547" spans="2:7" ht="15" customHeight="1" x14ac:dyDescent="0.2">
      <c r="B547" s="203"/>
      <c r="C547" s="204"/>
      <c r="D547" s="205"/>
      <c r="E547" s="204"/>
      <c r="F547" s="204"/>
      <c r="G547" s="206"/>
    </row>
    <row r="548" spans="2:7" ht="15" customHeight="1" x14ac:dyDescent="0.2">
      <c r="B548" s="203"/>
      <c r="C548" s="204"/>
      <c r="D548" s="205"/>
      <c r="E548" s="204"/>
      <c r="F548" s="204"/>
      <c r="G548" s="206"/>
    </row>
    <row r="549" spans="2:7" ht="15" customHeight="1" x14ac:dyDescent="0.2">
      <c r="B549" s="203"/>
      <c r="C549" s="204"/>
      <c r="D549" s="205"/>
      <c r="E549" s="204"/>
      <c r="F549" s="204"/>
      <c r="G549" s="206"/>
    </row>
    <row r="550" spans="2:7" ht="15" customHeight="1" x14ac:dyDescent="0.2">
      <c r="B550" s="203"/>
      <c r="C550" s="204"/>
      <c r="D550" s="205"/>
      <c r="E550" s="204"/>
      <c r="F550" s="204"/>
      <c r="G550" s="206"/>
    </row>
    <row r="551" spans="2:7" ht="15" customHeight="1" x14ac:dyDescent="0.2">
      <c r="B551" s="203"/>
      <c r="C551" s="204"/>
      <c r="D551" s="205"/>
      <c r="E551" s="204"/>
      <c r="F551" s="204"/>
      <c r="G551" s="206"/>
    </row>
    <row r="552" spans="2:7" ht="15" customHeight="1" x14ac:dyDescent="0.2">
      <c r="B552" s="203"/>
      <c r="C552" s="204"/>
      <c r="D552" s="205"/>
      <c r="E552" s="204"/>
      <c r="F552" s="204"/>
      <c r="G552" s="206"/>
    </row>
    <row r="553" spans="2:7" ht="15" customHeight="1" x14ac:dyDescent="0.2">
      <c r="B553" s="203"/>
      <c r="C553" s="204"/>
      <c r="D553" s="205"/>
      <c r="E553" s="204"/>
      <c r="F553" s="204"/>
      <c r="G553" s="206"/>
    </row>
    <row r="554" spans="2:7" ht="15" customHeight="1" x14ac:dyDescent="0.2">
      <c r="B554" s="203"/>
      <c r="C554" s="204"/>
      <c r="D554" s="205"/>
      <c r="E554" s="204"/>
      <c r="F554" s="204"/>
      <c r="G554" s="206"/>
    </row>
    <row r="555" spans="2:7" ht="15" customHeight="1" x14ac:dyDescent="0.2">
      <c r="B555" s="203"/>
      <c r="C555" s="204"/>
      <c r="D555" s="205"/>
      <c r="E555" s="204"/>
      <c r="F555" s="204"/>
      <c r="G555" s="206"/>
    </row>
    <row r="556" spans="2:7" ht="15" customHeight="1" x14ac:dyDescent="0.2">
      <c r="B556" s="203"/>
      <c r="C556" s="204"/>
      <c r="D556" s="205"/>
      <c r="E556" s="204"/>
      <c r="F556" s="204"/>
      <c r="G556" s="206"/>
    </row>
    <row r="557" spans="2:7" ht="15" customHeight="1" x14ac:dyDescent="0.2">
      <c r="B557" s="203"/>
      <c r="C557" s="204"/>
      <c r="D557" s="205"/>
      <c r="E557" s="204"/>
      <c r="F557" s="204"/>
      <c r="G557" s="206"/>
    </row>
    <row r="558" spans="2:7" ht="15" customHeight="1" x14ac:dyDescent="0.2">
      <c r="B558" s="203"/>
      <c r="C558" s="204"/>
      <c r="D558" s="205"/>
      <c r="E558" s="204"/>
      <c r="F558" s="204"/>
      <c r="G558" s="206"/>
    </row>
    <row r="559" spans="2:7" ht="15" customHeight="1" x14ac:dyDescent="0.2">
      <c r="B559" s="203"/>
      <c r="C559" s="204"/>
      <c r="D559" s="205"/>
      <c r="E559" s="204"/>
      <c r="F559" s="204"/>
      <c r="G559" s="206"/>
    </row>
    <row r="560" spans="2:7" ht="15" customHeight="1" x14ac:dyDescent="0.2">
      <c r="B560" s="203"/>
      <c r="C560" s="204"/>
      <c r="D560" s="205"/>
      <c r="E560" s="204"/>
      <c r="F560" s="204"/>
      <c r="G560" s="206"/>
    </row>
    <row r="561" spans="2:7" ht="15" customHeight="1" x14ac:dyDescent="0.2">
      <c r="B561" s="203"/>
      <c r="C561" s="204"/>
      <c r="D561" s="205"/>
      <c r="E561" s="204"/>
      <c r="F561" s="204"/>
      <c r="G561" s="206"/>
    </row>
    <row r="562" spans="2:7" ht="15" customHeight="1" x14ac:dyDescent="0.2">
      <c r="B562" s="203"/>
      <c r="C562" s="204"/>
      <c r="D562" s="205"/>
      <c r="E562" s="204"/>
      <c r="F562" s="204"/>
      <c r="G562" s="206"/>
    </row>
    <row r="563" spans="2:7" ht="15" customHeight="1" x14ac:dyDescent="0.2">
      <c r="B563" s="203"/>
      <c r="C563" s="204"/>
      <c r="D563" s="205"/>
      <c r="E563" s="204"/>
      <c r="F563" s="204"/>
      <c r="G563" s="206"/>
    </row>
    <row r="564" spans="2:7" ht="15" customHeight="1" x14ac:dyDescent="0.2">
      <c r="B564" s="203"/>
      <c r="C564" s="204"/>
      <c r="D564" s="205"/>
      <c r="E564" s="204"/>
      <c r="F564" s="204"/>
      <c r="G564" s="206"/>
    </row>
    <row r="565" spans="2:7" ht="15" customHeight="1" x14ac:dyDescent="0.2">
      <c r="B565" s="203"/>
      <c r="C565" s="204"/>
      <c r="D565" s="205"/>
      <c r="E565" s="204"/>
      <c r="F565" s="204"/>
      <c r="G565" s="206"/>
    </row>
    <row r="566" spans="2:7" ht="15" customHeight="1" x14ac:dyDescent="0.2">
      <c r="B566" s="203"/>
      <c r="C566" s="204"/>
      <c r="D566" s="205"/>
      <c r="E566" s="204"/>
      <c r="F566" s="204"/>
      <c r="G566" s="206"/>
    </row>
    <row r="567" spans="2:7" ht="15" customHeight="1" x14ac:dyDescent="0.2">
      <c r="B567" s="203"/>
      <c r="C567" s="204"/>
      <c r="D567" s="205"/>
      <c r="E567" s="204"/>
      <c r="F567" s="204"/>
      <c r="G567" s="206"/>
    </row>
    <row r="568" spans="2:7" ht="15" customHeight="1" x14ac:dyDescent="0.2">
      <c r="B568" s="203"/>
      <c r="C568" s="204"/>
      <c r="D568" s="205"/>
      <c r="E568" s="204"/>
      <c r="F568" s="204"/>
      <c r="G568" s="206"/>
    </row>
    <row r="569" spans="2:7" ht="15" customHeight="1" x14ac:dyDescent="0.2">
      <c r="B569" s="203"/>
      <c r="C569" s="204"/>
      <c r="D569" s="205"/>
      <c r="E569" s="204"/>
      <c r="F569" s="204"/>
      <c r="G569" s="206"/>
    </row>
    <row r="570" spans="2:7" ht="15" customHeight="1" x14ac:dyDescent="0.2">
      <c r="B570" s="203"/>
      <c r="C570" s="204"/>
      <c r="D570" s="205"/>
      <c r="E570" s="204"/>
      <c r="F570" s="204"/>
      <c r="G570" s="206"/>
    </row>
    <row r="571" spans="2:7" ht="15" customHeight="1" x14ac:dyDescent="0.2">
      <c r="B571" s="203"/>
      <c r="C571" s="204"/>
      <c r="D571" s="205"/>
      <c r="E571" s="204"/>
      <c r="F571" s="204"/>
      <c r="G571" s="206"/>
    </row>
    <row r="572" spans="2:7" ht="15" customHeight="1" x14ac:dyDescent="0.2">
      <c r="B572" s="203"/>
      <c r="C572" s="204"/>
      <c r="D572" s="205"/>
      <c r="E572" s="204"/>
      <c r="F572" s="204"/>
      <c r="G572" s="206"/>
    </row>
    <row r="573" spans="2:7" ht="15" customHeight="1" x14ac:dyDescent="0.2">
      <c r="B573" s="203"/>
      <c r="C573" s="204"/>
      <c r="D573" s="205"/>
      <c r="E573" s="204"/>
      <c r="F573" s="204"/>
      <c r="G573" s="206"/>
    </row>
    <row r="574" spans="2:7" ht="15" customHeight="1" x14ac:dyDescent="0.2">
      <c r="B574" s="203"/>
      <c r="C574" s="204"/>
      <c r="D574" s="205"/>
      <c r="E574" s="204"/>
      <c r="F574" s="204"/>
      <c r="G574" s="206"/>
    </row>
    <row r="575" spans="2:7" ht="15" customHeight="1" x14ac:dyDescent="0.2">
      <c r="B575" s="203"/>
      <c r="C575" s="204"/>
      <c r="D575" s="205"/>
      <c r="E575" s="204"/>
      <c r="F575" s="204"/>
      <c r="G575" s="206"/>
    </row>
    <row r="576" spans="2:7" ht="15" customHeight="1" x14ac:dyDescent="0.2">
      <c r="B576" s="203"/>
      <c r="C576" s="204"/>
      <c r="D576" s="205"/>
      <c r="E576" s="204"/>
      <c r="F576" s="204"/>
      <c r="G576" s="206"/>
    </row>
    <row r="577" spans="2:7" ht="15" customHeight="1" x14ac:dyDescent="0.2">
      <c r="B577" s="203"/>
      <c r="C577" s="204"/>
      <c r="D577" s="205"/>
      <c r="E577" s="204"/>
      <c r="F577" s="204"/>
      <c r="G577" s="206"/>
    </row>
    <row r="578" spans="2:7" ht="15" customHeight="1" x14ac:dyDescent="0.2">
      <c r="B578" s="203"/>
      <c r="C578" s="204"/>
      <c r="D578" s="205"/>
      <c r="E578" s="204"/>
      <c r="F578" s="204"/>
      <c r="G578" s="206"/>
    </row>
    <row r="579" spans="2:7" ht="15" customHeight="1" x14ac:dyDescent="0.2">
      <c r="B579" s="203"/>
      <c r="C579" s="204"/>
      <c r="D579" s="205"/>
      <c r="E579" s="204"/>
      <c r="F579" s="204"/>
      <c r="G579" s="206"/>
    </row>
    <row r="580" spans="2:7" ht="15" customHeight="1" x14ac:dyDescent="0.2">
      <c r="B580" s="203"/>
      <c r="C580" s="204"/>
      <c r="D580" s="205"/>
      <c r="E580" s="204"/>
      <c r="F580" s="204"/>
      <c r="G580" s="206"/>
    </row>
    <row r="581" spans="2:7" ht="15" customHeight="1" x14ac:dyDescent="0.2">
      <c r="B581" s="203"/>
      <c r="C581" s="204"/>
      <c r="D581" s="205"/>
      <c r="E581" s="204"/>
      <c r="F581" s="204"/>
      <c r="G581" s="206"/>
    </row>
    <row r="582" spans="2:7" ht="15" customHeight="1" x14ac:dyDescent="0.2">
      <c r="B582" s="203"/>
      <c r="C582" s="204"/>
      <c r="D582" s="205"/>
      <c r="E582" s="204"/>
      <c r="F582" s="204"/>
      <c r="G582" s="206"/>
    </row>
    <row r="583" spans="2:7" ht="15" customHeight="1" x14ac:dyDescent="0.2">
      <c r="B583" s="203"/>
      <c r="C583" s="204"/>
      <c r="D583" s="205"/>
      <c r="E583" s="204"/>
      <c r="F583" s="204"/>
      <c r="G583" s="206"/>
    </row>
    <row r="584" spans="2:7" ht="15" customHeight="1" x14ac:dyDescent="0.2">
      <c r="B584" s="203"/>
      <c r="C584" s="204"/>
      <c r="D584" s="205"/>
      <c r="E584" s="204"/>
      <c r="F584" s="204"/>
      <c r="G584" s="206"/>
    </row>
    <row r="585" spans="2:7" ht="15" customHeight="1" x14ac:dyDescent="0.2">
      <c r="B585" s="203"/>
      <c r="C585" s="204"/>
      <c r="D585" s="205"/>
      <c r="E585" s="204"/>
      <c r="F585" s="204"/>
      <c r="G585" s="206"/>
    </row>
    <row r="586" spans="2:7" ht="15" customHeight="1" x14ac:dyDescent="0.2">
      <c r="B586" s="203"/>
      <c r="C586" s="204"/>
      <c r="D586" s="205"/>
      <c r="E586" s="204"/>
      <c r="F586" s="204"/>
      <c r="G586" s="206"/>
    </row>
    <row r="587" spans="2:7" ht="15" customHeight="1" x14ac:dyDescent="0.2">
      <c r="B587" s="203"/>
      <c r="C587" s="204"/>
      <c r="D587" s="205"/>
      <c r="E587" s="204"/>
      <c r="F587" s="204"/>
      <c r="G587" s="206"/>
    </row>
    <row r="588" spans="2:7" ht="15" customHeight="1" x14ac:dyDescent="0.2">
      <c r="B588" s="203"/>
      <c r="C588" s="204"/>
      <c r="D588" s="205"/>
      <c r="E588" s="204"/>
      <c r="F588" s="204"/>
      <c r="G588" s="206"/>
    </row>
    <row r="589" spans="2:7" ht="15" customHeight="1" x14ac:dyDescent="0.2">
      <c r="B589" s="203"/>
      <c r="C589" s="204"/>
      <c r="D589" s="205"/>
      <c r="E589" s="204"/>
      <c r="F589" s="204"/>
      <c r="G589" s="206"/>
    </row>
    <row r="590" spans="2:7" ht="15" customHeight="1" x14ac:dyDescent="0.2">
      <c r="B590" s="203"/>
      <c r="C590" s="204"/>
      <c r="D590" s="205"/>
      <c r="E590" s="204"/>
      <c r="F590" s="204"/>
      <c r="G590" s="206"/>
    </row>
    <row r="591" spans="2:7" ht="15" customHeight="1" x14ac:dyDescent="0.2">
      <c r="B591" s="203"/>
      <c r="C591" s="204"/>
      <c r="D591" s="205"/>
      <c r="E591" s="204"/>
      <c r="F591" s="204"/>
      <c r="G591" s="206"/>
    </row>
    <row r="592" spans="2:7" ht="15" customHeight="1" x14ac:dyDescent="0.2">
      <c r="B592" s="203"/>
      <c r="C592" s="204"/>
      <c r="D592" s="205"/>
      <c r="E592" s="204"/>
      <c r="F592" s="204"/>
      <c r="G592" s="206"/>
    </row>
    <row r="593" spans="2:7" ht="15" customHeight="1" x14ac:dyDescent="0.2">
      <c r="B593" s="203"/>
      <c r="C593" s="204"/>
      <c r="D593" s="205"/>
      <c r="E593" s="204"/>
      <c r="F593" s="204"/>
      <c r="G593" s="206"/>
    </row>
    <row r="594" spans="2:7" ht="15" customHeight="1" x14ac:dyDescent="0.2">
      <c r="B594" s="203"/>
      <c r="C594" s="204"/>
      <c r="D594" s="205"/>
      <c r="E594" s="204"/>
      <c r="F594" s="204"/>
      <c r="G594" s="206"/>
    </row>
    <row r="595" spans="2:7" ht="15" customHeight="1" x14ac:dyDescent="0.2">
      <c r="B595" s="203"/>
      <c r="C595" s="204"/>
      <c r="D595" s="205"/>
      <c r="E595" s="204"/>
      <c r="F595" s="204"/>
      <c r="G595" s="206"/>
    </row>
    <row r="596" spans="2:7" ht="15" customHeight="1" x14ac:dyDescent="0.2">
      <c r="B596" s="203"/>
      <c r="C596" s="204"/>
      <c r="D596" s="205"/>
      <c r="E596" s="204"/>
      <c r="F596" s="204"/>
      <c r="G596" s="206"/>
    </row>
    <row r="597" spans="2:7" ht="15" customHeight="1" x14ac:dyDescent="0.2">
      <c r="B597" s="203"/>
      <c r="C597" s="204"/>
      <c r="D597" s="205"/>
      <c r="E597" s="204"/>
      <c r="F597" s="204"/>
      <c r="G597" s="206"/>
    </row>
    <row r="598" spans="2:7" ht="15" customHeight="1" x14ac:dyDescent="0.2">
      <c r="B598" s="203"/>
      <c r="C598" s="204"/>
      <c r="D598" s="205"/>
      <c r="E598" s="204"/>
      <c r="F598" s="204"/>
      <c r="G598" s="206"/>
    </row>
    <row r="599" spans="2:7" ht="15" customHeight="1" x14ac:dyDescent="0.2">
      <c r="B599" s="203"/>
      <c r="C599" s="204"/>
      <c r="D599" s="205"/>
      <c r="E599" s="204"/>
      <c r="F599" s="204"/>
      <c r="G599" s="206"/>
    </row>
    <row r="600" spans="2:7" ht="15" customHeight="1" x14ac:dyDescent="0.2">
      <c r="B600" s="203"/>
      <c r="C600" s="204"/>
      <c r="D600" s="205"/>
      <c r="E600" s="204"/>
      <c r="F600" s="204"/>
      <c r="G600" s="206"/>
    </row>
    <row r="601" spans="2:7" ht="15" customHeight="1" x14ac:dyDescent="0.2">
      <c r="B601" s="203"/>
      <c r="C601" s="204"/>
      <c r="D601" s="205"/>
      <c r="E601" s="204"/>
      <c r="F601" s="204"/>
      <c r="G601" s="206"/>
    </row>
    <row r="602" spans="2:7" ht="15" customHeight="1" x14ac:dyDescent="0.2">
      <c r="B602" s="203"/>
      <c r="C602" s="204"/>
      <c r="D602" s="205"/>
      <c r="E602" s="204"/>
      <c r="F602" s="204"/>
      <c r="G602" s="206"/>
    </row>
    <row r="603" spans="2:7" ht="15" customHeight="1" x14ac:dyDescent="0.2">
      <c r="B603" s="203"/>
      <c r="C603" s="204"/>
      <c r="D603" s="205"/>
      <c r="E603" s="204"/>
      <c r="F603" s="204"/>
      <c r="G603" s="206"/>
    </row>
    <row r="604" spans="2:7" ht="15" customHeight="1" x14ac:dyDescent="0.2">
      <c r="B604" s="203"/>
      <c r="C604" s="204"/>
      <c r="D604" s="205"/>
      <c r="E604" s="204"/>
      <c r="F604" s="204"/>
      <c r="G604" s="206"/>
    </row>
    <row r="605" spans="2:7" ht="15" customHeight="1" x14ac:dyDescent="0.2">
      <c r="B605" s="203"/>
      <c r="C605" s="204"/>
      <c r="D605" s="205"/>
      <c r="E605" s="204"/>
      <c r="F605" s="204"/>
      <c r="G605" s="206"/>
    </row>
    <row r="606" spans="2:7" ht="15" customHeight="1" x14ac:dyDescent="0.2">
      <c r="B606" s="203"/>
      <c r="C606" s="204"/>
      <c r="D606" s="205"/>
      <c r="E606" s="204"/>
      <c r="F606" s="204"/>
      <c r="G606" s="206"/>
    </row>
    <row r="607" spans="2:7" ht="15" customHeight="1" x14ac:dyDescent="0.2">
      <c r="B607" s="203"/>
      <c r="C607" s="204"/>
      <c r="D607" s="205"/>
      <c r="E607" s="204"/>
      <c r="F607" s="204"/>
      <c r="G607" s="206"/>
    </row>
    <row r="608" spans="2:7" ht="15" customHeight="1" x14ac:dyDescent="0.2">
      <c r="B608" s="203"/>
      <c r="C608" s="204"/>
      <c r="D608" s="205"/>
      <c r="E608" s="204"/>
      <c r="F608" s="204"/>
      <c r="G608" s="206"/>
    </row>
    <row r="609" spans="2:7" ht="15" customHeight="1" x14ac:dyDescent="0.2">
      <c r="B609" s="203"/>
      <c r="C609" s="204"/>
      <c r="D609" s="205"/>
      <c r="E609" s="204"/>
      <c r="F609" s="204"/>
      <c r="G609" s="206"/>
    </row>
    <row r="610" spans="2:7" ht="15" customHeight="1" x14ac:dyDescent="0.2">
      <c r="B610" s="203"/>
      <c r="C610" s="204"/>
      <c r="D610" s="205"/>
      <c r="E610" s="204"/>
      <c r="F610" s="204"/>
      <c r="G610" s="206"/>
    </row>
    <row r="611" spans="2:7" ht="15" customHeight="1" x14ac:dyDescent="0.2">
      <c r="B611" s="203"/>
      <c r="C611" s="204"/>
      <c r="D611" s="205"/>
      <c r="E611" s="204"/>
      <c r="F611" s="204"/>
      <c r="G611" s="206"/>
    </row>
    <row r="612" spans="2:7" ht="15" customHeight="1" x14ac:dyDescent="0.2">
      <c r="B612" s="203"/>
      <c r="C612" s="204"/>
      <c r="D612" s="205"/>
      <c r="E612" s="204"/>
      <c r="F612" s="204"/>
      <c r="G612" s="206"/>
    </row>
    <row r="613" spans="2:7" ht="15" customHeight="1" x14ac:dyDescent="0.2">
      <c r="B613" s="203"/>
      <c r="C613" s="204"/>
      <c r="D613" s="205"/>
      <c r="E613" s="204"/>
      <c r="F613" s="204"/>
      <c r="G613" s="206"/>
    </row>
    <row r="614" spans="2:7" ht="15" customHeight="1" x14ac:dyDescent="0.2">
      <c r="B614" s="203"/>
      <c r="C614" s="204"/>
      <c r="D614" s="205"/>
      <c r="E614" s="204"/>
      <c r="F614" s="204"/>
      <c r="G614" s="206"/>
    </row>
    <row r="615" spans="2:7" ht="15" customHeight="1" x14ac:dyDescent="0.2">
      <c r="B615" s="203"/>
      <c r="C615" s="204"/>
      <c r="D615" s="205"/>
      <c r="E615" s="204"/>
      <c r="F615" s="204"/>
      <c r="G615" s="206"/>
    </row>
    <row r="616" spans="2:7" ht="15" customHeight="1" x14ac:dyDescent="0.2">
      <c r="B616" s="203"/>
      <c r="C616" s="204"/>
      <c r="D616" s="205"/>
      <c r="E616" s="204"/>
      <c r="F616" s="204"/>
      <c r="G616" s="206"/>
    </row>
    <row r="617" spans="2:7" ht="15" customHeight="1" x14ac:dyDescent="0.2">
      <c r="B617" s="203"/>
      <c r="C617" s="204"/>
      <c r="D617" s="205"/>
      <c r="E617" s="204"/>
      <c r="F617" s="204"/>
      <c r="G617" s="206"/>
    </row>
    <row r="618" spans="2:7" ht="15" customHeight="1" x14ac:dyDescent="0.2">
      <c r="B618" s="203"/>
      <c r="C618" s="204"/>
      <c r="D618" s="205"/>
      <c r="E618" s="204"/>
      <c r="F618" s="204"/>
      <c r="G618" s="206"/>
    </row>
    <row r="619" spans="2:7" ht="15" customHeight="1" x14ac:dyDescent="0.2">
      <c r="B619" s="203"/>
      <c r="C619" s="204"/>
      <c r="D619" s="205"/>
      <c r="E619" s="204"/>
      <c r="F619" s="204"/>
      <c r="G619" s="206"/>
    </row>
    <row r="620" spans="2:7" ht="15" customHeight="1" x14ac:dyDescent="0.2">
      <c r="B620" s="203"/>
      <c r="C620" s="204"/>
      <c r="D620" s="205"/>
      <c r="E620" s="204"/>
      <c r="F620" s="204"/>
      <c r="G620" s="206"/>
    </row>
    <row r="621" spans="2:7" ht="15" customHeight="1" x14ac:dyDescent="0.2">
      <c r="B621" s="203"/>
      <c r="C621" s="204"/>
      <c r="D621" s="205"/>
      <c r="E621" s="204"/>
      <c r="F621" s="204"/>
      <c r="G621" s="206"/>
    </row>
    <row r="622" spans="2:7" ht="15" customHeight="1" x14ac:dyDescent="0.2">
      <c r="B622" s="203"/>
      <c r="C622" s="204"/>
      <c r="D622" s="205"/>
      <c r="E622" s="204"/>
      <c r="F622" s="204"/>
      <c r="G622" s="206"/>
    </row>
    <row r="623" spans="2:7" ht="15" customHeight="1" x14ac:dyDescent="0.2">
      <c r="B623" s="203"/>
      <c r="C623" s="204"/>
      <c r="D623" s="205"/>
      <c r="E623" s="204"/>
      <c r="F623" s="204"/>
      <c r="G623" s="206"/>
    </row>
    <row r="624" spans="2:7" ht="15" customHeight="1" x14ac:dyDescent="0.2">
      <c r="B624" s="203"/>
      <c r="C624" s="204"/>
      <c r="D624" s="205"/>
      <c r="E624" s="204"/>
      <c r="F624" s="204"/>
      <c r="G624" s="206"/>
    </row>
    <row r="625" spans="2:7" ht="15" customHeight="1" x14ac:dyDescent="0.2">
      <c r="B625" s="203"/>
      <c r="C625" s="204"/>
      <c r="D625" s="205"/>
      <c r="E625" s="204"/>
      <c r="F625" s="204"/>
      <c r="G625" s="206"/>
    </row>
    <row r="626" spans="2:7" ht="15" customHeight="1" x14ac:dyDescent="0.2">
      <c r="B626" s="203"/>
      <c r="C626" s="204"/>
      <c r="D626" s="205"/>
      <c r="E626" s="204"/>
      <c r="F626" s="204"/>
      <c r="G626" s="206"/>
    </row>
    <row r="627" spans="2:7" ht="15" customHeight="1" x14ac:dyDescent="0.2">
      <c r="B627" s="203"/>
      <c r="C627" s="204"/>
      <c r="D627" s="205"/>
      <c r="E627" s="204"/>
      <c r="F627" s="204"/>
      <c r="G627" s="206"/>
    </row>
    <row r="628" spans="2:7" ht="15" customHeight="1" x14ac:dyDescent="0.2">
      <c r="B628" s="203"/>
      <c r="C628" s="204"/>
      <c r="D628" s="205"/>
      <c r="E628" s="204"/>
      <c r="F628" s="204"/>
      <c r="G628" s="206"/>
    </row>
    <row r="629" spans="2:7" ht="15" customHeight="1" x14ac:dyDescent="0.2">
      <c r="B629" s="203"/>
      <c r="C629" s="204"/>
      <c r="D629" s="205"/>
      <c r="E629" s="204"/>
      <c r="F629" s="204"/>
      <c r="G629" s="206"/>
    </row>
    <row r="630" spans="2:7" ht="15" customHeight="1" x14ac:dyDescent="0.2">
      <c r="B630" s="203"/>
      <c r="C630" s="204"/>
      <c r="D630" s="205"/>
      <c r="E630" s="204"/>
      <c r="F630" s="204"/>
      <c r="G630" s="206"/>
    </row>
    <row r="631" spans="2:7" ht="15" customHeight="1" x14ac:dyDescent="0.2">
      <c r="B631" s="203"/>
      <c r="C631" s="204"/>
      <c r="D631" s="205"/>
      <c r="E631" s="204"/>
      <c r="F631" s="204"/>
      <c r="G631" s="206"/>
    </row>
    <row r="632" spans="2:7" ht="15" customHeight="1" x14ac:dyDescent="0.2">
      <c r="B632" s="203"/>
      <c r="C632" s="204"/>
      <c r="D632" s="205"/>
      <c r="E632" s="204"/>
      <c r="F632" s="204"/>
      <c r="G632" s="206"/>
    </row>
    <row r="633" spans="2:7" ht="15" customHeight="1" x14ac:dyDescent="0.2">
      <c r="B633" s="203"/>
      <c r="C633" s="204"/>
      <c r="D633" s="205"/>
      <c r="E633" s="204"/>
      <c r="F633" s="204"/>
      <c r="G633" s="206"/>
    </row>
    <row r="634" spans="2:7" ht="15" customHeight="1" x14ac:dyDescent="0.2">
      <c r="B634" s="203"/>
      <c r="C634" s="204"/>
      <c r="D634" s="205"/>
      <c r="E634" s="204"/>
      <c r="F634" s="204"/>
      <c r="G634" s="206"/>
    </row>
    <row r="635" spans="2:7" ht="15" customHeight="1" x14ac:dyDescent="0.2">
      <c r="B635" s="203"/>
      <c r="C635" s="204"/>
      <c r="D635" s="205"/>
      <c r="E635" s="204"/>
      <c r="F635" s="204"/>
      <c r="G635" s="206"/>
    </row>
    <row r="636" spans="2:7" ht="15" customHeight="1" x14ac:dyDescent="0.2">
      <c r="B636" s="203"/>
      <c r="C636" s="204"/>
      <c r="D636" s="205"/>
      <c r="E636" s="204"/>
      <c r="F636" s="204"/>
      <c r="G636" s="206"/>
    </row>
    <row r="637" spans="2:7" ht="15" customHeight="1" x14ac:dyDescent="0.2">
      <c r="B637" s="203"/>
      <c r="C637" s="204"/>
      <c r="D637" s="205"/>
      <c r="E637" s="204"/>
      <c r="F637" s="204"/>
      <c r="G637" s="206"/>
    </row>
    <row r="638" spans="2:7" ht="15" customHeight="1" x14ac:dyDescent="0.2">
      <c r="B638" s="203"/>
      <c r="C638" s="204"/>
      <c r="D638" s="205"/>
      <c r="E638" s="204"/>
      <c r="F638" s="204"/>
      <c r="G638" s="206"/>
    </row>
    <row r="639" spans="2:7" ht="15" customHeight="1" x14ac:dyDescent="0.2">
      <c r="B639" s="203"/>
      <c r="C639" s="204"/>
      <c r="D639" s="205"/>
      <c r="E639" s="204"/>
      <c r="F639" s="204"/>
      <c r="G639" s="206"/>
    </row>
    <row r="640" spans="2:7" ht="15" customHeight="1" x14ac:dyDescent="0.2">
      <c r="B640" s="203"/>
      <c r="C640" s="204"/>
      <c r="D640" s="205"/>
      <c r="E640" s="204"/>
      <c r="F640" s="204"/>
      <c r="G640" s="206"/>
    </row>
    <row r="641" spans="2:7" ht="15" customHeight="1" x14ac:dyDescent="0.2">
      <c r="B641" s="203"/>
      <c r="C641" s="204"/>
      <c r="D641" s="205"/>
      <c r="E641" s="204"/>
      <c r="F641" s="204"/>
      <c r="G641" s="206"/>
    </row>
    <row r="642" spans="2:7" ht="15" customHeight="1" x14ac:dyDescent="0.2">
      <c r="B642" s="203"/>
      <c r="C642" s="204"/>
      <c r="D642" s="205"/>
      <c r="E642" s="204"/>
      <c r="F642" s="204"/>
      <c r="G642" s="206"/>
    </row>
    <row r="643" spans="2:7" ht="15" customHeight="1" x14ac:dyDescent="0.2">
      <c r="B643" s="203"/>
      <c r="C643" s="204"/>
      <c r="D643" s="205"/>
      <c r="E643" s="204"/>
      <c r="F643" s="204"/>
      <c r="G643" s="206"/>
    </row>
    <row r="644" spans="2:7" ht="15" customHeight="1" x14ac:dyDescent="0.2">
      <c r="B644" s="203"/>
      <c r="C644" s="204"/>
      <c r="D644" s="205"/>
      <c r="E644" s="204"/>
      <c r="F644" s="204"/>
      <c r="G644" s="206"/>
    </row>
    <row r="645" spans="2:7" ht="15" customHeight="1" x14ac:dyDescent="0.2">
      <c r="B645" s="203"/>
      <c r="C645" s="204"/>
      <c r="D645" s="205"/>
      <c r="E645" s="204"/>
      <c r="F645" s="204"/>
      <c r="G645" s="206"/>
    </row>
    <row r="646" spans="2:7" ht="15" customHeight="1" x14ac:dyDescent="0.2">
      <c r="B646" s="203"/>
      <c r="C646" s="204"/>
      <c r="D646" s="205"/>
      <c r="E646" s="204"/>
      <c r="F646" s="204"/>
      <c r="G646" s="206"/>
    </row>
    <row r="647" spans="2:7" ht="15" customHeight="1" x14ac:dyDescent="0.2">
      <c r="B647" s="203"/>
      <c r="C647" s="204"/>
      <c r="D647" s="205"/>
      <c r="E647" s="204"/>
      <c r="F647" s="204"/>
      <c r="G647" s="206"/>
    </row>
    <row r="648" spans="2:7" ht="15" customHeight="1" x14ac:dyDescent="0.2">
      <c r="B648" s="203"/>
      <c r="C648" s="204"/>
      <c r="D648" s="205"/>
      <c r="E648" s="204"/>
      <c r="F648" s="204"/>
      <c r="G648" s="206"/>
    </row>
    <row r="649" spans="2:7" ht="15" customHeight="1" x14ac:dyDescent="0.2">
      <c r="B649" s="203"/>
      <c r="C649" s="204"/>
      <c r="D649" s="205"/>
      <c r="E649" s="204"/>
      <c r="F649" s="204"/>
      <c r="G649" s="206"/>
    </row>
    <row r="650" spans="2:7" ht="15" customHeight="1" x14ac:dyDescent="0.2">
      <c r="B650" s="203"/>
      <c r="C650" s="204"/>
      <c r="D650" s="205"/>
      <c r="E650" s="204"/>
      <c r="F650" s="204"/>
      <c r="G650" s="206"/>
    </row>
    <row r="651" spans="2:7" ht="15" customHeight="1" x14ac:dyDescent="0.2">
      <c r="B651" s="203"/>
      <c r="C651" s="204"/>
      <c r="D651" s="205"/>
      <c r="E651" s="204"/>
      <c r="F651" s="204"/>
      <c r="G651" s="206"/>
    </row>
    <row r="652" spans="2:7" ht="15" customHeight="1" x14ac:dyDescent="0.2">
      <c r="B652" s="203"/>
      <c r="C652" s="204"/>
      <c r="D652" s="205"/>
      <c r="E652" s="204"/>
      <c r="F652" s="204"/>
      <c r="G652" s="206"/>
    </row>
    <row r="653" spans="2:7" ht="15" customHeight="1" x14ac:dyDescent="0.2">
      <c r="B653" s="203"/>
      <c r="C653" s="204"/>
      <c r="D653" s="205"/>
      <c r="E653" s="204"/>
      <c r="F653" s="204"/>
      <c r="G653" s="206"/>
    </row>
    <row r="654" spans="2:7" ht="15" customHeight="1" x14ac:dyDescent="0.2">
      <c r="B654" s="203"/>
      <c r="C654" s="204"/>
      <c r="D654" s="205"/>
      <c r="E654" s="204"/>
      <c r="F654" s="204"/>
      <c r="G654" s="206"/>
    </row>
    <row r="655" spans="2:7" ht="15" customHeight="1" x14ac:dyDescent="0.2">
      <c r="B655" s="203"/>
      <c r="C655" s="204"/>
      <c r="D655" s="205"/>
      <c r="E655" s="204"/>
      <c r="F655" s="204"/>
      <c r="G655" s="206"/>
    </row>
    <row r="656" spans="2:7" ht="15" customHeight="1" x14ac:dyDescent="0.2">
      <c r="B656" s="203"/>
      <c r="C656" s="204"/>
      <c r="D656" s="205"/>
      <c r="E656" s="204"/>
      <c r="F656" s="204"/>
      <c r="G656" s="206"/>
    </row>
    <row r="657" spans="2:7" ht="15" customHeight="1" x14ac:dyDescent="0.2">
      <c r="B657" s="203"/>
      <c r="C657" s="204"/>
      <c r="D657" s="205"/>
      <c r="E657" s="204"/>
      <c r="F657" s="204"/>
      <c r="G657" s="206"/>
    </row>
    <row r="658" spans="2:7" ht="15" customHeight="1" x14ac:dyDescent="0.2">
      <c r="B658" s="203"/>
      <c r="C658" s="204"/>
      <c r="D658" s="205"/>
      <c r="E658" s="204"/>
      <c r="F658" s="204"/>
      <c r="G658" s="206"/>
    </row>
    <row r="659" spans="2:7" ht="15" customHeight="1" x14ac:dyDescent="0.2">
      <c r="B659" s="203"/>
      <c r="C659" s="204"/>
      <c r="D659" s="205"/>
      <c r="E659" s="204"/>
      <c r="F659" s="204"/>
      <c r="G659" s="206"/>
    </row>
    <row r="660" spans="2:7" ht="15" customHeight="1" x14ac:dyDescent="0.2">
      <c r="B660" s="203"/>
      <c r="C660" s="204"/>
      <c r="D660" s="205"/>
      <c r="E660" s="204"/>
      <c r="F660" s="204"/>
      <c r="G660" s="206"/>
    </row>
    <row r="661" spans="2:7" ht="15" customHeight="1" x14ac:dyDescent="0.2">
      <c r="B661" s="203"/>
      <c r="C661" s="204"/>
      <c r="D661" s="205"/>
      <c r="E661" s="204"/>
      <c r="F661" s="204"/>
      <c r="G661" s="206"/>
    </row>
    <row r="662" spans="2:7" ht="15" customHeight="1" x14ac:dyDescent="0.2">
      <c r="B662" s="203"/>
      <c r="C662" s="204"/>
      <c r="D662" s="205"/>
      <c r="E662" s="204"/>
      <c r="F662" s="204"/>
      <c r="G662" s="206"/>
    </row>
    <row r="663" spans="2:7" ht="15" customHeight="1" x14ac:dyDescent="0.2">
      <c r="B663" s="203"/>
      <c r="C663" s="204"/>
      <c r="D663" s="205"/>
      <c r="E663" s="204"/>
      <c r="F663" s="204"/>
      <c r="G663" s="206"/>
    </row>
    <row r="664" spans="2:7" ht="15" customHeight="1" x14ac:dyDescent="0.2">
      <c r="B664" s="203"/>
      <c r="C664" s="204"/>
      <c r="D664" s="205"/>
      <c r="E664" s="204"/>
      <c r="F664" s="204"/>
      <c r="G664" s="206"/>
    </row>
    <row r="665" spans="2:7" ht="15" customHeight="1" x14ac:dyDescent="0.2">
      <c r="B665" s="203"/>
      <c r="C665" s="204"/>
      <c r="D665" s="205"/>
      <c r="E665" s="204"/>
      <c r="F665" s="204"/>
      <c r="G665" s="206"/>
    </row>
    <row r="666" spans="2:7" ht="15" customHeight="1" x14ac:dyDescent="0.2">
      <c r="B666" s="203"/>
      <c r="C666" s="204"/>
      <c r="D666" s="205"/>
      <c r="E666" s="204"/>
      <c r="F666" s="204"/>
      <c r="G666" s="206"/>
    </row>
    <row r="667" spans="2:7" ht="15" customHeight="1" x14ac:dyDescent="0.2">
      <c r="B667" s="203"/>
      <c r="C667" s="204"/>
      <c r="D667" s="205"/>
      <c r="E667" s="204"/>
      <c r="F667" s="204"/>
      <c r="G667" s="206"/>
    </row>
    <row r="668" spans="2:7" ht="15" customHeight="1" x14ac:dyDescent="0.2">
      <c r="B668" s="203"/>
      <c r="C668" s="204"/>
      <c r="D668" s="205"/>
      <c r="E668" s="204"/>
      <c r="F668" s="204"/>
      <c r="G668" s="206"/>
    </row>
    <row r="669" spans="2:7" ht="15" customHeight="1" x14ac:dyDescent="0.2">
      <c r="B669" s="203"/>
      <c r="C669" s="204"/>
      <c r="D669" s="205"/>
      <c r="E669" s="204"/>
      <c r="F669" s="204"/>
      <c r="G669" s="206"/>
    </row>
    <row r="670" spans="2:7" ht="15" customHeight="1" x14ac:dyDescent="0.2">
      <c r="B670" s="203"/>
      <c r="C670" s="204"/>
      <c r="D670" s="205"/>
      <c r="E670" s="204"/>
      <c r="F670" s="204"/>
      <c r="G670" s="206"/>
    </row>
    <row r="671" spans="2:7" ht="15" customHeight="1" x14ac:dyDescent="0.2">
      <c r="B671" s="203"/>
      <c r="C671" s="204"/>
      <c r="D671" s="205"/>
      <c r="E671" s="204"/>
      <c r="F671" s="204"/>
      <c r="G671" s="206"/>
    </row>
    <row r="672" spans="2:7" ht="15" customHeight="1" x14ac:dyDescent="0.2">
      <c r="B672" s="203"/>
      <c r="C672" s="204"/>
      <c r="D672" s="205"/>
      <c r="E672" s="204"/>
      <c r="F672" s="204"/>
      <c r="G672" s="206"/>
    </row>
    <row r="673" spans="2:7" ht="15" customHeight="1" x14ac:dyDescent="0.2">
      <c r="B673" s="203"/>
      <c r="C673" s="204"/>
      <c r="D673" s="205"/>
      <c r="E673" s="204"/>
      <c r="F673" s="204"/>
      <c r="G673" s="206"/>
    </row>
    <row r="674" spans="2:7" ht="15" customHeight="1" x14ac:dyDescent="0.2">
      <c r="B674" s="203"/>
      <c r="C674" s="204"/>
      <c r="D674" s="205"/>
      <c r="E674" s="204"/>
      <c r="F674" s="204"/>
      <c r="G674" s="206"/>
    </row>
    <row r="675" spans="2:7" ht="15" customHeight="1" x14ac:dyDescent="0.2">
      <c r="B675" s="203"/>
      <c r="C675" s="204"/>
      <c r="D675" s="205"/>
      <c r="E675" s="204"/>
      <c r="F675" s="204"/>
      <c r="G675" s="206"/>
    </row>
    <row r="676" spans="2:7" ht="15" customHeight="1" x14ac:dyDescent="0.2">
      <c r="B676" s="203"/>
      <c r="C676" s="204"/>
      <c r="D676" s="205"/>
      <c r="E676" s="204"/>
      <c r="F676" s="204"/>
      <c r="G676" s="206"/>
    </row>
    <row r="677" spans="2:7" ht="15" customHeight="1" x14ac:dyDescent="0.2">
      <c r="B677" s="203"/>
      <c r="C677" s="204"/>
      <c r="D677" s="205"/>
      <c r="E677" s="204"/>
      <c r="F677" s="204"/>
      <c r="G677" s="206"/>
    </row>
    <row r="678" spans="2:7" ht="15" customHeight="1" x14ac:dyDescent="0.2">
      <c r="B678" s="203"/>
      <c r="C678" s="204"/>
      <c r="D678" s="205"/>
      <c r="E678" s="204"/>
      <c r="F678" s="204"/>
      <c r="G678" s="206"/>
    </row>
    <row r="679" spans="2:7" ht="15" customHeight="1" x14ac:dyDescent="0.2">
      <c r="B679" s="203"/>
      <c r="C679" s="204"/>
      <c r="D679" s="205"/>
      <c r="E679" s="204"/>
      <c r="F679" s="204"/>
      <c r="G679" s="206"/>
    </row>
    <row r="680" spans="2:7" ht="15" customHeight="1" x14ac:dyDescent="0.2">
      <c r="B680" s="203"/>
      <c r="C680" s="204"/>
      <c r="D680" s="205"/>
      <c r="E680" s="204"/>
      <c r="F680" s="204"/>
      <c r="G680" s="206"/>
    </row>
    <row r="681" spans="2:7" ht="15" customHeight="1" x14ac:dyDescent="0.2">
      <c r="B681" s="203"/>
      <c r="C681" s="204"/>
      <c r="D681" s="205"/>
      <c r="E681" s="204"/>
      <c r="F681" s="204"/>
      <c r="G681" s="206"/>
    </row>
    <row r="682" spans="2:7" ht="15" customHeight="1" x14ac:dyDescent="0.2">
      <c r="B682" s="203"/>
      <c r="C682" s="204"/>
      <c r="D682" s="205"/>
      <c r="E682" s="204"/>
      <c r="F682" s="204"/>
      <c r="G682" s="206"/>
    </row>
    <row r="683" spans="2:7" ht="15" customHeight="1" x14ac:dyDescent="0.2">
      <c r="B683" s="203"/>
      <c r="C683" s="204"/>
      <c r="D683" s="205"/>
      <c r="E683" s="204"/>
      <c r="F683" s="204"/>
      <c r="G683" s="206"/>
    </row>
    <row r="684" spans="2:7" ht="15" customHeight="1" x14ac:dyDescent="0.2">
      <c r="B684" s="203"/>
      <c r="C684" s="204"/>
      <c r="D684" s="205"/>
      <c r="E684" s="204"/>
      <c r="F684" s="204"/>
      <c r="G684" s="206"/>
    </row>
    <row r="685" spans="2:7" ht="15" customHeight="1" x14ac:dyDescent="0.2">
      <c r="B685" s="203"/>
      <c r="C685" s="204"/>
      <c r="D685" s="205"/>
      <c r="E685" s="204"/>
      <c r="F685" s="204"/>
      <c r="G685" s="206"/>
    </row>
    <row r="686" spans="2:7" ht="15" customHeight="1" x14ac:dyDescent="0.2">
      <c r="B686" s="203"/>
      <c r="C686" s="204"/>
      <c r="D686" s="205"/>
      <c r="E686" s="204"/>
      <c r="F686" s="204"/>
      <c r="G686" s="206"/>
    </row>
    <row r="687" spans="2:7" ht="15" customHeight="1" x14ac:dyDescent="0.2">
      <c r="B687" s="203"/>
      <c r="C687" s="204"/>
      <c r="D687" s="205"/>
      <c r="E687" s="204"/>
      <c r="F687" s="204"/>
      <c r="G687" s="206"/>
    </row>
    <row r="688" spans="2:7" ht="15" customHeight="1" x14ac:dyDescent="0.2">
      <c r="B688" s="203"/>
      <c r="C688" s="204"/>
      <c r="D688" s="205"/>
      <c r="E688" s="204"/>
      <c r="F688" s="204"/>
      <c r="G688" s="206"/>
    </row>
    <row r="689" spans="2:7" ht="15" customHeight="1" x14ac:dyDescent="0.2">
      <c r="B689" s="203"/>
      <c r="C689" s="204"/>
      <c r="D689" s="205"/>
      <c r="E689" s="204"/>
      <c r="F689" s="204"/>
      <c r="G689" s="206"/>
    </row>
    <row r="690" spans="2:7" ht="15" customHeight="1" x14ac:dyDescent="0.2">
      <c r="B690" s="203"/>
      <c r="C690" s="204"/>
      <c r="D690" s="205"/>
      <c r="E690" s="204"/>
      <c r="F690" s="204"/>
      <c r="G690" s="206"/>
    </row>
    <row r="691" spans="2:7" ht="15" customHeight="1" x14ac:dyDescent="0.2">
      <c r="B691" s="203"/>
      <c r="C691" s="204"/>
      <c r="D691" s="205"/>
      <c r="E691" s="204"/>
      <c r="F691" s="204"/>
      <c r="G691" s="206"/>
    </row>
    <row r="692" spans="2:7" ht="15" customHeight="1" x14ac:dyDescent="0.2">
      <c r="B692" s="203"/>
      <c r="C692" s="204"/>
      <c r="D692" s="205"/>
      <c r="E692" s="204"/>
      <c r="F692" s="204"/>
      <c r="G692" s="206"/>
    </row>
    <row r="693" spans="2:7" ht="15" customHeight="1" x14ac:dyDescent="0.2">
      <c r="B693" s="203"/>
      <c r="C693" s="204"/>
      <c r="D693" s="205"/>
      <c r="E693" s="204"/>
      <c r="F693" s="204"/>
      <c r="G693" s="206"/>
    </row>
    <row r="694" spans="2:7" ht="15" customHeight="1" x14ac:dyDescent="0.2">
      <c r="B694" s="203"/>
      <c r="C694" s="204"/>
      <c r="D694" s="205"/>
      <c r="E694" s="204"/>
      <c r="F694" s="204"/>
      <c r="G694" s="206"/>
    </row>
    <row r="695" spans="2:7" ht="15" customHeight="1" x14ac:dyDescent="0.2">
      <c r="B695" s="203"/>
      <c r="C695" s="204"/>
      <c r="D695" s="205"/>
      <c r="E695" s="204"/>
      <c r="F695" s="204"/>
      <c r="G695" s="206"/>
    </row>
    <row r="696" spans="2:7" ht="15" customHeight="1" x14ac:dyDescent="0.2">
      <c r="B696" s="203"/>
      <c r="C696" s="204"/>
      <c r="D696" s="205"/>
      <c r="E696" s="204"/>
      <c r="F696" s="204"/>
      <c r="G696" s="206"/>
    </row>
    <row r="697" spans="2:7" ht="15" customHeight="1" x14ac:dyDescent="0.2">
      <c r="B697" s="203"/>
      <c r="C697" s="204"/>
      <c r="D697" s="205"/>
      <c r="E697" s="204"/>
      <c r="F697" s="204"/>
      <c r="G697" s="206"/>
    </row>
    <row r="698" spans="2:7" ht="15" customHeight="1" x14ac:dyDescent="0.2">
      <c r="B698" s="203"/>
      <c r="C698" s="204"/>
      <c r="D698" s="205"/>
      <c r="E698" s="204"/>
      <c r="F698" s="204"/>
      <c r="G698" s="206"/>
    </row>
    <row r="699" spans="2:7" ht="15" customHeight="1" x14ac:dyDescent="0.2">
      <c r="B699" s="203"/>
      <c r="C699" s="204"/>
      <c r="D699" s="205"/>
      <c r="E699" s="204"/>
      <c r="F699" s="204"/>
      <c r="G699" s="206"/>
    </row>
    <row r="700" spans="2:7" ht="15" customHeight="1" x14ac:dyDescent="0.2">
      <c r="B700" s="203"/>
      <c r="C700" s="204"/>
      <c r="D700" s="205"/>
      <c r="E700" s="204"/>
      <c r="F700" s="204"/>
      <c r="G700" s="206"/>
    </row>
    <row r="701" spans="2:7" ht="15" customHeight="1" x14ac:dyDescent="0.2">
      <c r="B701" s="203"/>
      <c r="C701" s="204"/>
      <c r="D701" s="205"/>
      <c r="E701" s="204"/>
      <c r="F701" s="204"/>
      <c r="G701" s="206"/>
    </row>
    <row r="702" spans="2:7" ht="15" customHeight="1" x14ac:dyDescent="0.2">
      <c r="B702" s="203"/>
      <c r="C702" s="204"/>
      <c r="D702" s="205"/>
      <c r="E702" s="204"/>
      <c r="F702" s="204"/>
      <c r="G702" s="206"/>
    </row>
    <row r="703" spans="2:7" ht="15" customHeight="1" x14ac:dyDescent="0.2">
      <c r="B703" s="203"/>
      <c r="C703" s="204"/>
      <c r="D703" s="205"/>
      <c r="E703" s="204"/>
      <c r="F703" s="204"/>
      <c r="G703" s="206"/>
    </row>
    <row r="704" spans="2:7" ht="15" customHeight="1" x14ac:dyDescent="0.2">
      <c r="B704" s="203"/>
      <c r="C704" s="204"/>
      <c r="D704" s="205"/>
      <c r="E704" s="204"/>
      <c r="F704" s="204"/>
      <c r="G704" s="206"/>
    </row>
    <row r="705" spans="2:7" ht="15" customHeight="1" x14ac:dyDescent="0.2">
      <c r="B705" s="203"/>
      <c r="C705" s="204"/>
      <c r="D705" s="205"/>
      <c r="E705" s="204"/>
      <c r="F705" s="204"/>
      <c r="G705" s="206"/>
    </row>
    <row r="706" spans="2:7" ht="15" customHeight="1" x14ac:dyDescent="0.2">
      <c r="B706" s="203"/>
      <c r="C706" s="204"/>
      <c r="D706" s="205"/>
      <c r="E706" s="204"/>
      <c r="F706" s="204"/>
      <c r="G706" s="206"/>
    </row>
    <row r="707" spans="2:7" ht="15" customHeight="1" x14ac:dyDescent="0.2">
      <c r="B707" s="203"/>
      <c r="C707" s="204"/>
      <c r="D707" s="205"/>
      <c r="E707" s="204"/>
      <c r="F707" s="204"/>
      <c r="G707" s="206"/>
    </row>
    <row r="708" spans="2:7" ht="15" customHeight="1" x14ac:dyDescent="0.2">
      <c r="B708" s="203"/>
      <c r="C708" s="204"/>
      <c r="D708" s="205"/>
      <c r="E708" s="204"/>
      <c r="F708" s="204"/>
      <c r="G708" s="206"/>
    </row>
    <row r="709" spans="2:7" ht="15" customHeight="1" x14ac:dyDescent="0.2">
      <c r="B709" s="203"/>
      <c r="C709" s="204"/>
      <c r="D709" s="205"/>
      <c r="E709" s="204"/>
      <c r="F709" s="204"/>
      <c r="G709" s="206"/>
    </row>
    <row r="710" spans="2:7" ht="15" customHeight="1" x14ac:dyDescent="0.2">
      <c r="B710" s="203"/>
      <c r="C710" s="204"/>
      <c r="D710" s="205"/>
      <c r="E710" s="204"/>
      <c r="F710" s="204"/>
      <c r="G710" s="206"/>
    </row>
    <row r="711" spans="2:7" ht="15" customHeight="1" x14ac:dyDescent="0.2">
      <c r="B711" s="203"/>
      <c r="C711" s="204"/>
      <c r="D711" s="205"/>
      <c r="E711" s="204"/>
      <c r="F711" s="204"/>
      <c r="G711" s="206"/>
    </row>
    <row r="712" spans="2:7" ht="15" customHeight="1" x14ac:dyDescent="0.2">
      <c r="B712" s="203"/>
      <c r="C712" s="204"/>
      <c r="D712" s="205"/>
      <c r="E712" s="204"/>
      <c r="F712" s="204"/>
      <c r="G712" s="206"/>
    </row>
    <row r="713" spans="2:7" ht="15" customHeight="1" x14ac:dyDescent="0.2">
      <c r="B713" s="203"/>
      <c r="C713" s="204"/>
      <c r="D713" s="205"/>
      <c r="E713" s="204"/>
      <c r="F713" s="204"/>
      <c r="G713" s="206"/>
    </row>
    <row r="714" spans="2:7" ht="15" customHeight="1" x14ac:dyDescent="0.2">
      <c r="B714" s="203"/>
      <c r="C714" s="204"/>
      <c r="D714" s="205"/>
      <c r="E714" s="204"/>
      <c r="F714" s="204"/>
      <c r="G714" s="206"/>
    </row>
    <row r="715" spans="2:7" ht="15" customHeight="1" x14ac:dyDescent="0.2">
      <c r="B715" s="203"/>
      <c r="C715" s="204"/>
      <c r="D715" s="205"/>
      <c r="E715" s="204"/>
      <c r="F715" s="204"/>
      <c r="G715" s="206"/>
    </row>
    <row r="716" spans="2:7" ht="15" customHeight="1" x14ac:dyDescent="0.2">
      <c r="B716" s="203"/>
      <c r="C716" s="204"/>
      <c r="D716" s="205"/>
      <c r="E716" s="204"/>
      <c r="F716" s="204"/>
      <c r="G716" s="206"/>
    </row>
    <row r="717" spans="2:7" ht="15" customHeight="1" x14ac:dyDescent="0.2">
      <c r="B717" s="203"/>
      <c r="C717" s="204"/>
      <c r="D717" s="205"/>
      <c r="E717" s="204"/>
      <c r="F717" s="204"/>
      <c r="G717" s="206"/>
    </row>
    <row r="718" spans="2:7" ht="15" customHeight="1" x14ac:dyDescent="0.2">
      <c r="B718" s="203"/>
      <c r="C718" s="204"/>
      <c r="D718" s="205"/>
      <c r="E718" s="204"/>
      <c r="F718" s="204"/>
      <c r="G718" s="206"/>
    </row>
    <row r="719" spans="2:7" ht="15" customHeight="1" x14ac:dyDescent="0.2">
      <c r="B719" s="203"/>
      <c r="C719" s="204"/>
      <c r="D719" s="205"/>
      <c r="E719" s="204"/>
      <c r="F719" s="204"/>
      <c r="G719" s="206"/>
    </row>
    <row r="720" spans="2:7" ht="15" customHeight="1" x14ac:dyDescent="0.2">
      <c r="B720" s="203"/>
      <c r="C720" s="204"/>
      <c r="D720" s="205"/>
      <c r="E720" s="204"/>
      <c r="F720" s="204"/>
      <c r="G720" s="206"/>
    </row>
    <row r="721" spans="2:7" ht="15" customHeight="1" x14ac:dyDescent="0.2">
      <c r="B721" s="203"/>
      <c r="C721" s="204"/>
      <c r="D721" s="205"/>
      <c r="E721" s="204"/>
      <c r="F721" s="204"/>
      <c r="G721" s="206"/>
    </row>
    <row r="722" spans="2:7" ht="15" customHeight="1" x14ac:dyDescent="0.2">
      <c r="B722" s="203"/>
      <c r="C722" s="204"/>
      <c r="D722" s="205"/>
      <c r="E722" s="204"/>
      <c r="F722" s="204"/>
      <c r="G722" s="206"/>
    </row>
    <row r="723" spans="2:7" ht="15" customHeight="1" x14ac:dyDescent="0.2">
      <c r="B723" s="203"/>
      <c r="C723" s="204"/>
      <c r="D723" s="205"/>
      <c r="E723" s="204"/>
      <c r="F723" s="204"/>
      <c r="G723" s="206"/>
    </row>
    <row r="724" spans="2:7" ht="15" customHeight="1" x14ac:dyDescent="0.2">
      <c r="B724" s="203"/>
      <c r="C724" s="204"/>
      <c r="D724" s="205"/>
      <c r="E724" s="204"/>
      <c r="F724" s="204"/>
      <c r="G724" s="206"/>
    </row>
    <row r="725" spans="2:7" ht="15" customHeight="1" x14ac:dyDescent="0.2">
      <c r="B725" s="203"/>
      <c r="C725" s="204"/>
      <c r="D725" s="205"/>
      <c r="E725" s="204"/>
      <c r="F725" s="204"/>
      <c r="G725" s="206"/>
    </row>
    <row r="726" spans="2:7" ht="15" customHeight="1" x14ac:dyDescent="0.2">
      <c r="B726" s="203"/>
      <c r="C726" s="204"/>
      <c r="D726" s="205"/>
      <c r="E726" s="204"/>
      <c r="F726" s="204"/>
      <c r="G726" s="206"/>
    </row>
    <row r="727" spans="2:7" ht="15" customHeight="1" x14ac:dyDescent="0.2">
      <c r="B727" s="203"/>
      <c r="C727" s="204"/>
      <c r="D727" s="205"/>
      <c r="E727" s="204"/>
      <c r="F727" s="204"/>
      <c r="G727" s="206"/>
    </row>
    <row r="728" spans="2:7" ht="15" customHeight="1" x14ac:dyDescent="0.2">
      <c r="B728" s="203"/>
      <c r="C728" s="204"/>
      <c r="D728" s="205"/>
      <c r="E728" s="204"/>
      <c r="F728" s="204"/>
      <c r="G728" s="206"/>
    </row>
    <row r="729" spans="2:7" ht="15" customHeight="1" x14ac:dyDescent="0.2">
      <c r="B729" s="203"/>
      <c r="C729" s="204"/>
      <c r="D729" s="205"/>
      <c r="E729" s="204"/>
      <c r="F729" s="204"/>
      <c r="G729" s="206"/>
    </row>
    <row r="730" spans="2:7" ht="15" customHeight="1" x14ac:dyDescent="0.2">
      <c r="B730" s="203"/>
      <c r="C730" s="204"/>
      <c r="D730" s="205"/>
      <c r="E730" s="204"/>
      <c r="F730" s="204"/>
      <c r="G730" s="206"/>
    </row>
    <row r="731" spans="2:7" ht="15" customHeight="1" x14ac:dyDescent="0.2">
      <c r="B731" s="203"/>
      <c r="C731" s="204"/>
      <c r="D731" s="205"/>
      <c r="E731" s="204"/>
      <c r="F731" s="204"/>
      <c r="G731" s="206"/>
    </row>
    <row r="732" spans="2:7" ht="15" customHeight="1" x14ac:dyDescent="0.2">
      <c r="B732" s="203"/>
      <c r="C732" s="204"/>
      <c r="D732" s="205"/>
      <c r="E732" s="204"/>
      <c r="F732" s="204"/>
      <c r="G732" s="206"/>
    </row>
    <row r="733" spans="2:7" ht="15" customHeight="1" x14ac:dyDescent="0.2">
      <c r="B733" s="203"/>
      <c r="C733" s="204"/>
      <c r="D733" s="205"/>
      <c r="E733" s="204"/>
      <c r="F733" s="204"/>
      <c r="G733" s="206"/>
    </row>
    <row r="734" spans="2:7" ht="15" customHeight="1" x14ac:dyDescent="0.2">
      <c r="B734" s="203"/>
      <c r="C734" s="204"/>
      <c r="D734" s="205"/>
      <c r="E734" s="204"/>
      <c r="F734" s="204"/>
      <c r="G734" s="206"/>
    </row>
    <row r="735" spans="2:7" ht="15" customHeight="1" x14ac:dyDescent="0.2">
      <c r="B735" s="203"/>
      <c r="C735" s="204"/>
      <c r="D735" s="205"/>
      <c r="E735" s="204"/>
      <c r="F735" s="204"/>
      <c r="G735" s="206"/>
    </row>
    <row r="736" spans="2:7" ht="15" customHeight="1" x14ac:dyDescent="0.2">
      <c r="B736" s="203"/>
      <c r="C736" s="204"/>
      <c r="D736" s="205"/>
      <c r="E736" s="204"/>
      <c r="F736" s="204"/>
      <c r="G736" s="206"/>
    </row>
    <row r="737" spans="2:7" ht="15" customHeight="1" x14ac:dyDescent="0.2">
      <c r="B737" s="203"/>
      <c r="C737" s="204"/>
      <c r="D737" s="205"/>
      <c r="E737" s="204"/>
      <c r="F737" s="204"/>
      <c r="G737" s="206"/>
    </row>
    <row r="738" spans="2:7" ht="15" customHeight="1" x14ac:dyDescent="0.2">
      <c r="B738" s="203"/>
      <c r="C738" s="204"/>
      <c r="D738" s="205"/>
      <c r="E738" s="204"/>
      <c r="F738" s="204"/>
      <c r="G738" s="206"/>
    </row>
    <row r="739" spans="2:7" ht="15" customHeight="1" x14ac:dyDescent="0.2">
      <c r="B739" s="203"/>
      <c r="C739" s="204"/>
      <c r="D739" s="205"/>
      <c r="E739" s="204"/>
      <c r="F739" s="204"/>
      <c r="G739" s="206"/>
    </row>
    <row r="740" spans="2:7" ht="15" customHeight="1" x14ac:dyDescent="0.2">
      <c r="B740" s="203"/>
      <c r="C740" s="204"/>
      <c r="D740" s="205"/>
      <c r="E740" s="204"/>
      <c r="F740" s="204"/>
      <c r="G740" s="206"/>
    </row>
    <row r="741" spans="2:7" ht="15" customHeight="1" x14ac:dyDescent="0.2">
      <c r="B741" s="203"/>
      <c r="C741" s="204"/>
      <c r="D741" s="205"/>
      <c r="E741" s="204"/>
      <c r="F741" s="204"/>
      <c r="G741" s="206"/>
    </row>
    <row r="742" spans="2:7" ht="15" customHeight="1" x14ac:dyDescent="0.2">
      <c r="B742" s="203"/>
      <c r="C742" s="204"/>
      <c r="D742" s="205"/>
      <c r="E742" s="204"/>
      <c r="F742" s="204"/>
      <c r="G742" s="206"/>
    </row>
    <row r="743" spans="2:7" ht="15" customHeight="1" x14ac:dyDescent="0.2">
      <c r="B743" s="203"/>
      <c r="C743" s="204"/>
      <c r="D743" s="205"/>
      <c r="E743" s="204"/>
      <c r="F743" s="204"/>
      <c r="G743" s="206"/>
    </row>
    <row r="744" spans="2:7" ht="15" customHeight="1" x14ac:dyDescent="0.2">
      <c r="B744" s="203"/>
      <c r="C744" s="204"/>
      <c r="D744" s="205"/>
      <c r="E744" s="204"/>
      <c r="F744" s="204"/>
      <c r="G744" s="206"/>
    </row>
    <row r="745" spans="2:7" ht="15" customHeight="1" x14ac:dyDescent="0.2">
      <c r="B745" s="203"/>
      <c r="C745" s="204"/>
      <c r="D745" s="205"/>
      <c r="E745" s="204"/>
      <c r="F745" s="204"/>
      <c r="G745" s="206"/>
    </row>
    <row r="746" spans="2:7" ht="15" customHeight="1" x14ac:dyDescent="0.2">
      <c r="B746" s="203"/>
      <c r="C746" s="204"/>
      <c r="D746" s="205"/>
      <c r="E746" s="204"/>
      <c r="F746" s="204"/>
      <c r="G746" s="206"/>
    </row>
    <row r="747" spans="2:7" ht="15" customHeight="1" x14ac:dyDescent="0.2">
      <c r="B747" s="203"/>
      <c r="C747" s="204"/>
      <c r="D747" s="205"/>
      <c r="E747" s="204"/>
      <c r="F747" s="204"/>
      <c r="G747" s="206"/>
    </row>
    <row r="748" spans="2:7" ht="15" customHeight="1" x14ac:dyDescent="0.2">
      <c r="B748" s="203"/>
      <c r="C748" s="204"/>
      <c r="D748" s="205"/>
      <c r="E748" s="204"/>
      <c r="F748" s="204"/>
      <c r="G748" s="206"/>
    </row>
    <row r="749" spans="2:7" ht="15" customHeight="1" x14ac:dyDescent="0.2">
      <c r="B749" s="203"/>
      <c r="C749" s="204"/>
      <c r="D749" s="205"/>
      <c r="E749" s="204"/>
      <c r="F749" s="204"/>
      <c r="G749" s="206"/>
    </row>
    <row r="750" spans="2:7" ht="15" customHeight="1" x14ac:dyDescent="0.2">
      <c r="B750" s="203"/>
      <c r="C750" s="204"/>
      <c r="D750" s="205"/>
      <c r="E750" s="204"/>
      <c r="F750" s="204"/>
      <c r="G750" s="206"/>
    </row>
    <row r="751" spans="2:7" ht="15" customHeight="1" x14ac:dyDescent="0.2">
      <c r="B751" s="203"/>
      <c r="C751" s="204"/>
      <c r="D751" s="205"/>
      <c r="E751" s="204"/>
      <c r="F751" s="204"/>
      <c r="G751" s="206"/>
    </row>
    <row r="752" spans="2:7" ht="15" customHeight="1" x14ac:dyDescent="0.2">
      <c r="B752" s="203"/>
      <c r="C752" s="204"/>
      <c r="D752" s="205"/>
      <c r="E752" s="204"/>
      <c r="F752" s="204"/>
      <c r="G752" s="206"/>
    </row>
    <row r="753" spans="2:7" ht="15" customHeight="1" x14ac:dyDescent="0.2">
      <c r="B753" s="203"/>
      <c r="C753" s="204"/>
      <c r="D753" s="205"/>
      <c r="E753" s="204"/>
      <c r="F753" s="204"/>
      <c r="G753" s="206"/>
    </row>
    <row r="754" spans="2:7" ht="15" customHeight="1" x14ac:dyDescent="0.2">
      <c r="B754" s="203"/>
      <c r="C754" s="204"/>
      <c r="D754" s="205"/>
      <c r="E754" s="204"/>
      <c r="F754" s="204"/>
      <c r="G754" s="206"/>
    </row>
    <row r="755" spans="2:7" ht="15" customHeight="1" x14ac:dyDescent="0.2">
      <c r="B755" s="203"/>
      <c r="C755" s="204"/>
      <c r="D755" s="205"/>
      <c r="E755" s="204"/>
      <c r="F755" s="204"/>
      <c r="G755" s="206"/>
    </row>
    <row r="756" spans="2:7" ht="15" customHeight="1" x14ac:dyDescent="0.2">
      <c r="B756" s="203"/>
      <c r="C756" s="204"/>
      <c r="D756" s="205"/>
      <c r="E756" s="204"/>
      <c r="F756" s="204"/>
      <c r="G756" s="206"/>
    </row>
    <row r="757" spans="2:7" ht="15" customHeight="1" x14ac:dyDescent="0.2">
      <c r="B757" s="203"/>
      <c r="C757" s="204"/>
      <c r="D757" s="205"/>
      <c r="E757" s="204"/>
      <c r="F757" s="204"/>
      <c r="G757" s="206"/>
    </row>
    <row r="758" spans="2:7" ht="15" customHeight="1" x14ac:dyDescent="0.2">
      <c r="B758" s="203"/>
      <c r="C758" s="204"/>
      <c r="D758" s="205"/>
      <c r="E758" s="204"/>
      <c r="F758" s="204"/>
      <c r="G758" s="206"/>
    </row>
    <row r="759" spans="2:7" ht="15" customHeight="1" x14ac:dyDescent="0.2">
      <c r="B759" s="203"/>
      <c r="C759" s="204"/>
      <c r="D759" s="205"/>
      <c r="E759" s="204"/>
      <c r="F759" s="204"/>
      <c r="G759" s="206"/>
    </row>
    <row r="760" spans="2:7" ht="15" customHeight="1" x14ac:dyDescent="0.2">
      <c r="B760" s="203"/>
      <c r="C760" s="204"/>
      <c r="D760" s="205"/>
      <c r="E760" s="204"/>
      <c r="F760" s="204"/>
      <c r="G760" s="206"/>
    </row>
    <row r="761" spans="2:7" ht="15" customHeight="1" x14ac:dyDescent="0.2">
      <c r="B761" s="203"/>
      <c r="C761" s="204"/>
      <c r="D761" s="205"/>
      <c r="E761" s="204"/>
      <c r="F761" s="204"/>
      <c r="G761" s="206"/>
    </row>
    <row r="762" spans="2:7" ht="15" customHeight="1" x14ac:dyDescent="0.2">
      <c r="B762" s="203"/>
      <c r="C762" s="204"/>
      <c r="D762" s="205"/>
      <c r="E762" s="204"/>
      <c r="F762" s="204"/>
      <c r="G762" s="206"/>
    </row>
    <row r="763" spans="2:7" ht="15" customHeight="1" x14ac:dyDescent="0.2">
      <c r="B763" s="203"/>
      <c r="C763" s="204"/>
      <c r="D763" s="205"/>
      <c r="E763" s="204"/>
      <c r="F763" s="204"/>
      <c r="G763" s="206"/>
    </row>
    <row r="764" spans="2:7" ht="15" customHeight="1" x14ac:dyDescent="0.2">
      <c r="B764" s="203"/>
      <c r="C764" s="204"/>
      <c r="D764" s="205"/>
      <c r="E764" s="204"/>
      <c r="F764" s="204"/>
      <c r="G764" s="206"/>
    </row>
    <row r="765" spans="2:7" ht="15" customHeight="1" x14ac:dyDescent="0.2">
      <c r="B765" s="203"/>
      <c r="C765" s="204"/>
      <c r="D765" s="205"/>
      <c r="E765" s="204"/>
      <c r="F765" s="204"/>
      <c r="G765" s="206"/>
    </row>
    <row r="766" spans="2:7" ht="15" customHeight="1" x14ac:dyDescent="0.2">
      <c r="B766" s="203"/>
      <c r="C766" s="204"/>
      <c r="D766" s="205"/>
      <c r="E766" s="204"/>
      <c r="F766" s="204"/>
      <c r="G766" s="206"/>
    </row>
    <row r="767" spans="2:7" ht="15" customHeight="1" x14ac:dyDescent="0.2">
      <c r="B767" s="203"/>
      <c r="C767" s="204"/>
      <c r="D767" s="205"/>
      <c r="E767" s="204"/>
      <c r="F767" s="204"/>
      <c r="G767" s="206"/>
    </row>
    <row r="768" spans="2:7" ht="15" customHeight="1" x14ac:dyDescent="0.2">
      <c r="B768" s="203"/>
      <c r="C768" s="204"/>
      <c r="D768" s="205"/>
      <c r="E768" s="204"/>
      <c r="F768" s="204"/>
      <c r="G768" s="206"/>
    </row>
    <row r="769" spans="2:7" ht="15" customHeight="1" x14ac:dyDescent="0.2">
      <c r="B769" s="203"/>
      <c r="C769" s="204"/>
      <c r="D769" s="205"/>
      <c r="E769" s="204"/>
      <c r="F769" s="204"/>
      <c r="G769" s="206"/>
    </row>
    <row r="770" spans="2:7" ht="15" customHeight="1" x14ac:dyDescent="0.2">
      <c r="B770" s="203"/>
      <c r="C770" s="204"/>
      <c r="D770" s="205"/>
      <c r="E770" s="204"/>
      <c r="F770" s="204"/>
      <c r="G770" s="206"/>
    </row>
    <row r="771" spans="2:7" ht="15" customHeight="1" x14ac:dyDescent="0.2">
      <c r="B771" s="203"/>
      <c r="C771" s="204"/>
      <c r="D771" s="205"/>
      <c r="E771" s="204"/>
      <c r="F771" s="204"/>
      <c r="G771" s="206"/>
    </row>
    <row r="772" spans="2:7" ht="15" customHeight="1" x14ac:dyDescent="0.2">
      <c r="B772" s="203"/>
      <c r="C772" s="204"/>
      <c r="D772" s="205"/>
      <c r="E772" s="204"/>
      <c r="F772" s="204"/>
      <c r="G772" s="206"/>
    </row>
    <row r="773" spans="2:7" ht="15" customHeight="1" x14ac:dyDescent="0.2">
      <c r="B773" s="203"/>
      <c r="C773" s="204"/>
      <c r="D773" s="205"/>
      <c r="E773" s="204"/>
      <c r="F773" s="204"/>
      <c r="G773" s="206"/>
    </row>
    <row r="774" spans="2:7" ht="15" customHeight="1" x14ac:dyDescent="0.2">
      <c r="B774" s="203"/>
      <c r="C774" s="204"/>
      <c r="D774" s="205"/>
      <c r="E774" s="204"/>
      <c r="F774" s="204"/>
      <c r="G774" s="206"/>
    </row>
    <row r="775" spans="2:7" ht="15" customHeight="1" x14ac:dyDescent="0.2">
      <c r="B775" s="203"/>
      <c r="C775" s="204"/>
      <c r="D775" s="205"/>
      <c r="E775" s="204"/>
      <c r="F775" s="204"/>
      <c r="G775" s="206"/>
    </row>
    <row r="776" spans="2:7" ht="15" customHeight="1" x14ac:dyDescent="0.2">
      <c r="B776" s="203"/>
      <c r="C776" s="204"/>
      <c r="D776" s="205"/>
      <c r="E776" s="204"/>
      <c r="F776" s="204"/>
      <c r="G776" s="206"/>
    </row>
    <row r="777" spans="2:7" ht="15" customHeight="1" x14ac:dyDescent="0.2">
      <c r="B777" s="203"/>
      <c r="C777" s="204"/>
      <c r="D777" s="205"/>
      <c r="E777" s="204"/>
      <c r="F777" s="204"/>
      <c r="G777" s="206"/>
    </row>
    <row r="778" spans="2:7" ht="15" customHeight="1" x14ac:dyDescent="0.2">
      <c r="B778" s="203"/>
      <c r="C778" s="204"/>
      <c r="D778" s="205"/>
      <c r="E778" s="204"/>
      <c r="F778" s="204"/>
      <c r="G778" s="206"/>
    </row>
    <row r="779" spans="2:7" ht="15" customHeight="1" x14ac:dyDescent="0.2">
      <c r="B779" s="203"/>
      <c r="C779" s="204"/>
      <c r="D779" s="205"/>
      <c r="E779" s="204"/>
      <c r="F779" s="204"/>
      <c r="G779" s="206"/>
    </row>
    <row r="780" spans="2:7" ht="15" customHeight="1" x14ac:dyDescent="0.2">
      <c r="B780" s="203"/>
      <c r="C780" s="204"/>
      <c r="D780" s="205"/>
      <c r="E780" s="204"/>
      <c r="F780" s="204"/>
      <c r="G780" s="206"/>
    </row>
    <row r="781" spans="2:7" ht="15" customHeight="1" x14ac:dyDescent="0.2">
      <c r="B781" s="203"/>
      <c r="C781" s="204"/>
      <c r="D781" s="205"/>
      <c r="E781" s="204"/>
      <c r="F781" s="204"/>
      <c r="G781" s="206"/>
    </row>
    <row r="782" spans="2:7" ht="15" customHeight="1" x14ac:dyDescent="0.2">
      <c r="B782" s="203"/>
      <c r="C782" s="204"/>
      <c r="D782" s="205"/>
      <c r="E782" s="204"/>
      <c r="F782" s="204"/>
      <c r="G782" s="206"/>
    </row>
    <row r="783" spans="2:7" ht="15" customHeight="1" x14ac:dyDescent="0.2">
      <c r="B783" s="203"/>
      <c r="C783" s="204"/>
      <c r="D783" s="205"/>
      <c r="E783" s="204"/>
      <c r="F783" s="204"/>
      <c r="G783" s="206"/>
    </row>
    <row r="784" spans="2:7" ht="15" customHeight="1" x14ac:dyDescent="0.2">
      <c r="B784" s="203"/>
      <c r="C784" s="204"/>
      <c r="D784" s="205"/>
      <c r="E784" s="204"/>
      <c r="F784" s="204"/>
      <c r="G784" s="206"/>
    </row>
    <row r="785" spans="2:7" ht="15" customHeight="1" x14ac:dyDescent="0.2">
      <c r="B785" s="203"/>
      <c r="C785" s="204"/>
      <c r="D785" s="205"/>
      <c r="E785" s="204"/>
      <c r="F785" s="204"/>
      <c r="G785" s="206"/>
    </row>
    <row r="786" spans="2:7" ht="15" customHeight="1" x14ac:dyDescent="0.2">
      <c r="B786" s="203"/>
      <c r="C786" s="204"/>
      <c r="D786" s="205"/>
      <c r="E786" s="204"/>
      <c r="F786" s="204"/>
      <c r="G786" s="206"/>
    </row>
    <row r="787" spans="2:7" ht="15" customHeight="1" x14ac:dyDescent="0.2">
      <c r="B787" s="203"/>
      <c r="C787" s="204"/>
      <c r="D787" s="205"/>
      <c r="E787" s="204"/>
      <c r="F787" s="204"/>
      <c r="G787" s="206"/>
    </row>
    <row r="788" spans="2:7" ht="15" customHeight="1" x14ac:dyDescent="0.2">
      <c r="B788" s="203"/>
      <c r="C788" s="204"/>
      <c r="D788" s="205"/>
      <c r="E788" s="204"/>
      <c r="F788" s="204"/>
      <c r="G788" s="206"/>
    </row>
    <row r="789" spans="2:7" ht="15" customHeight="1" x14ac:dyDescent="0.2">
      <c r="B789" s="203"/>
      <c r="C789" s="204"/>
      <c r="D789" s="205"/>
      <c r="E789" s="204"/>
      <c r="F789" s="204"/>
      <c r="G789" s="206"/>
    </row>
    <row r="790" spans="2:7" ht="15" customHeight="1" x14ac:dyDescent="0.2">
      <c r="B790" s="203"/>
      <c r="C790" s="204"/>
      <c r="D790" s="205"/>
      <c r="E790" s="204"/>
      <c r="F790" s="204"/>
      <c r="G790" s="206"/>
    </row>
    <row r="791" spans="2:7" ht="15" customHeight="1" x14ac:dyDescent="0.2">
      <c r="B791" s="203"/>
      <c r="C791" s="204"/>
      <c r="D791" s="205"/>
      <c r="E791" s="204"/>
      <c r="F791" s="204"/>
      <c r="G791" s="206"/>
    </row>
    <row r="792" spans="2:7" ht="15" customHeight="1" x14ac:dyDescent="0.2">
      <c r="B792" s="203"/>
      <c r="C792" s="204"/>
      <c r="D792" s="205"/>
      <c r="E792" s="204"/>
      <c r="F792" s="204"/>
      <c r="G792" s="206"/>
    </row>
    <row r="793" spans="2:7" ht="15" customHeight="1" x14ac:dyDescent="0.2">
      <c r="B793" s="203"/>
      <c r="C793" s="204"/>
      <c r="D793" s="205"/>
      <c r="E793" s="204"/>
      <c r="F793" s="204"/>
      <c r="G793" s="206"/>
    </row>
    <row r="794" spans="2:7" ht="15" customHeight="1" x14ac:dyDescent="0.2">
      <c r="B794" s="203"/>
      <c r="C794" s="204"/>
      <c r="D794" s="205"/>
      <c r="E794" s="204"/>
      <c r="F794" s="204"/>
      <c r="G794" s="206"/>
    </row>
    <row r="795" spans="2:7" ht="15" customHeight="1" x14ac:dyDescent="0.2">
      <c r="B795" s="203"/>
      <c r="C795" s="204"/>
      <c r="D795" s="205"/>
      <c r="E795" s="204"/>
      <c r="F795" s="204"/>
      <c r="G795" s="206"/>
    </row>
    <row r="796" spans="2:7" ht="15" customHeight="1" x14ac:dyDescent="0.2">
      <c r="B796" s="203"/>
      <c r="C796" s="204"/>
      <c r="D796" s="205"/>
      <c r="E796" s="204"/>
      <c r="F796" s="204"/>
      <c r="G796" s="206"/>
    </row>
    <row r="797" spans="2:7" ht="15" customHeight="1" x14ac:dyDescent="0.2">
      <c r="B797" s="203"/>
      <c r="C797" s="204"/>
      <c r="D797" s="205"/>
      <c r="E797" s="204"/>
      <c r="F797" s="204"/>
      <c r="G797" s="206"/>
    </row>
    <row r="798" spans="2:7" ht="15" customHeight="1" x14ac:dyDescent="0.2">
      <c r="B798" s="203"/>
      <c r="C798" s="204"/>
      <c r="D798" s="205"/>
      <c r="E798" s="204"/>
      <c r="F798" s="204"/>
      <c r="G798" s="206"/>
    </row>
    <row r="799" spans="2:7" ht="15" customHeight="1" x14ac:dyDescent="0.2">
      <c r="B799" s="203"/>
      <c r="C799" s="204"/>
      <c r="D799" s="205"/>
      <c r="E799" s="204"/>
      <c r="F799" s="204"/>
      <c r="G799" s="206"/>
    </row>
    <row r="800" spans="2:7" ht="15" customHeight="1" x14ac:dyDescent="0.2">
      <c r="B800" s="203"/>
      <c r="C800" s="204"/>
      <c r="D800" s="205"/>
      <c r="E800" s="204"/>
      <c r="F800" s="204"/>
      <c r="G800" s="206"/>
    </row>
    <row r="801" spans="2:7" ht="15" customHeight="1" x14ac:dyDescent="0.2">
      <c r="B801" s="203"/>
      <c r="C801" s="204"/>
      <c r="D801" s="205"/>
      <c r="E801" s="204"/>
      <c r="F801" s="204"/>
      <c r="G801" s="206"/>
    </row>
    <row r="802" spans="2:7" ht="15" customHeight="1" x14ac:dyDescent="0.2">
      <c r="B802" s="203"/>
      <c r="C802" s="204"/>
      <c r="D802" s="205"/>
      <c r="E802" s="204"/>
      <c r="F802" s="204"/>
      <c r="G802" s="206"/>
    </row>
    <row r="803" spans="2:7" ht="15" customHeight="1" x14ac:dyDescent="0.2">
      <c r="B803" s="203"/>
      <c r="C803" s="204"/>
      <c r="D803" s="205"/>
      <c r="E803" s="204"/>
      <c r="F803" s="204"/>
      <c r="G803" s="206"/>
    </row>
    <row r="804" spans="2:7" ht="15" customHeight="1" x14ac:dyDescent="0.2">
      <c r="B804" s="203"/>
      <c r="C804" s="204"/>
      <c r="D804" s="205"/>
      <c r="E804" s="204"/>
      <c r="F804" s="204"/>
      <c r="G804" s="206"/>
    </row>
    <row r="805" spans="2:7" ht="15" customHeight="1" x14ac:dyDescent="0.2">
      <c r="B805" s="203"/>
      <c r="C805" s="204"/>
      <c r="D805" s="205"/>
      <c r="E805" s="204"/>
      <c r="F805" s="204"/>
      <c r="G805" s="206"/>
    </row>
    <row r="806" spans="2:7" ht="15" customHeight="1" x14ac:dyDescent="0.2">
      <c r="B806" s="203"/>
      <c r="C806" s="204"/>
      <c r="D806" s="205"/>
      <c r="E806" s="204"/>
      <c r="F806" s="204"/>
      <c r="G806" s="206"/>
    </row>
    <row r="807" spans="2:7" ht="15" customHeight="1" x14ac:dyDescent="0.2">
      <c r="B807" s="203"/>
      <c r="C807" s="204"/>
      <c r="D807" s="205"/>
      <c r="E807" s="204"/>
      <c r="F807" s="204"/>
      <c r="G807" s="206"/>
    </row>
    <row r="808" spans="2:7" ht="15" customHeight="1" x14ac:dyDescent="0.2">
      <c r="B808" s="203"/>
      <c r="C808" s="204"/>
      <c r="D808" s="205"/>
      <c r="E808" s="204"/>
      <c r="F808" s="204"/>
      <c r="G808" s="206"/>
    </row>
    <row r="809" spans="2:7" ht="15" customHeight="1" x14ac:dyDescent="0.2">
      <c r="B809" s="203"/>
      <c r="C809" s="204"/>
      <c r="D809" s="205"/>
      <c r="E809" s="204"/>
      <c r="F809" s="204"/>
      <c r="G809" s="206"/>
    </row>
    <row r="810" spans="2:7" ht="15" customHeight="1" x14ac:dyDescent="0.2">
      <c r="B810" s="203"/>
      <c r="C810" s="204"/>
      <c r="D810" s="205"/>
      <c r="E810" s="204"/>
      <c r="F810" s="204"/>
      <c r="G810" s="206"/>
    </row>
    <row r="811" spans="2:7" ht="15" customHeight="1" x14ac:dyDescent="0.2">
      <c r="B811" s="203"/>
      <c r="C811" s="204"/>
      <c r="D811" s="205"/>
      <c r="E811" s="204"/>
      <c r="F811" s="204"/>
      <c r="G811" s="206"/>
    </row>
    <row r="812" spans="2:7" ht="15" customHeight="1" x14ac:dyDescent="0.2">
      <c r="B812" s="203"/>
      <c r="C812" s="204"/>
      <c r="D812" s="205"/>
      <c r="E812" s="204"/>
      <c r="F812" s="204"/>
      <c r="G812" s="206"/>
    </row>
    <row r="813" spans="2:7" ht="15" customHeight="1" x14ac:dyDescent="0.2">
      <c r="B813" s="203"/>
      <c r="C813" s="204"/>
      <c r="D813" s="205"/>
      <c r="E813" s="204"/>
      <c r="F813" s="204"/>
      <c r="G813" s="206"/>
    </row>
    <row r="814" spans="2:7" ht="15" customHeight="1" x14ac:dyDescent="0.2">
      <c r="B814" s="203"/>
      <c r="C814" s="204"/>
      <c r="D814" s="205"/>
      <c r="E814" s="204"/>
      <c r="F814" s="204"/>
      <c r="G814" s="206"/>
    </row>
    <row r="815" spans="2:7" ht="15" customHeight="1" x14ac:dyDescent="0.2">
      <c r="B815" s="203"/>
      <c r="C815" s="204"/>
      <c r="D815" s="205"/>
      <c r="E815" s="204"/>
      <c r="F815" s="204"/>
      <c r="G815" s="206"/>
    </row>
    <row r="816" spans="2:7" ht="15" customHeight="1" x14ac:dyDescent="0.2">
      <c r="B816" s="203"/>
      <c r="C816" s="204"/>
      <c r="D816" s="205"/>
      <c r="E816" s="204"/>
      <c r="F816" s="204"/>
      <c r="G816" s="206"/>
    </row>
    <row r="817" spans="2:7" ht="15" customHeight="1" x14ac:dyDescent="0.2">
      <c r="B817" s="203"/>
      <c r="C817" s="204"/>
      <c r="D817" s="205"/>
      <c r="E817" s="204"/>
      <c r="F817" s="204"/>
      <c r="G817" s="206"/>
    </row>
    <row r="818" spans="2:7" ht="15" customHeight="1" x14ac:dyDescent="0.2">
      <c r="B818" s="203"/>
      <c r="C818" s="204"/>
      <c r="D818" s="205"/>
      <c r="E818" s="204"/>
      <c r="F818" s="204"/>
      <c r="G818" s="206"/>
    </row>
    <row r="819" spans="2:7" ht="15" customHeight="1" x14ac:dyDescent="0.2">
      <c r="B819" s="203"/>
      <c r="C819" s="204"/>
      <c r="D819" s="205"/>
      <c r="E819" s="204"/>
      <c r="F819" s="204"/>
      <c r="G819" s="206"/>
    </row>
    <row r="820" spans="2:7" ht="15" customHeight="1" x14ac:dyDescent="0.2">
      <c r="B820" s="203"/>
      <c r="C820" s="204"/>
      <c r="D820" s="205"/>
      <c r="E820" s="204"/>
      <c r="F820" s="204"/>
      <c r="G820" s="206"/>
    </row>
    <row r="821" spans="2:7" ht="15" customHeight="1" x14ac:dyDescent="0.2">
      <c r="B821" s="203"/>
      <c r="C821" s="204"/>
      <c r="D821" s="205"/>
      <c r="E821" s="204"/>
      <c r="F821" s="204"/>
      <c r="G821" s="206"/>
    </row>
    <row r="822" spans="2:7" ht="15" customHeight="1" x14ac:dyDescent="0.2">
      <c r="B822" s="203"/>
      <c r="C822" s="204"/>
      <c r="D822" s="205"/>
      <c r="E822" s="204"/>
      <c r="F822" s="204"/>
      <c r="G822" s="206"/>
    </row>
    <row r="823" spans="2:7" ht="15" customHeight="1" x14ac:dyDescent="0.2">
      <c r="B823" s="203"/>
      <c r="C823" s="204"/>
      <c r="D823" s="205"/>
      <c r="E823" s="204"/>
      <c r="F823" s="204"/>
      <c r="G823" s="206"/>
    </row>
    <row r="824" spans="2:7" ht="15" customHeight="1" x14ac:dyDescent="0.2">
      <c r="B824" s="203"/>
      <c r="C824" s="204"/>
      <c r="D824" s="205"/>
      <c r="E824" s="204"/>
      <c r="F824" s="204"/>
      <c r="G824" s="206"/>
    </row>
    <row r="825" spans="2:7" ht="15" customHeight="1" x14ac:dyDescent="0.2">
      <c r="B825" s="203"/>
      <c r="C825" s="204"/>
      <c r="D825" s="205"/>
      <c r="E825" s="204"/>
      <c r="F825" s="204"/>
      <c r="G825" s="206"/>
    </row>
    <row r="826" spans="2:7" ht="15" customHeight="1" x14ac:dyDescent="0.2">
      <c r="B826" s="203"/>
      <c r="C826" s="204"/>
      <c r="D826" s="205"/>
      <c r="E826" s="204"/>
      <c r="F826" s="204"/>
      <c r="G826" s="206"/>
    </row>
    <row r="827" spans="2:7" ht="15" customHeight="1" x14ac:dyDescent="0.2">
      <c r="B827" s="203"/>
      <c r="C827" s="204"/>
      <c r="D827" s="205"/>
      <c r="E827" s="204"/>
      <c r="F827" s="204"/>
      <c r="G827" s="206"/>
    </row>
    <row r="828" spans="2:7" ht="15" customHeight="1" x14ac:dyDescent="0.2">
      <c r="B828" s="203"/>
      <c r="C828" s="204"/>
      <c r="D828" s="205"/>
      <c r="E828" s="204"/>
      <c r="F828" s="204"/>
      <c r="G828" s="206"/>
    </row>
    <row r="829" spans="2:7" ht="15" customHeight="1" x14ac:dyDescent="0.2">
      <c r="B829" s="203"/>
      <c r="C829" s="204"/>
      <c r="D829" s="205"/>
      <c r="E829" s="204"/>
      <c r="F829" s="204"/>
      <c r="G829" s="206"/>
    </row>
    <row r="830" spans="2:7" ht="15" customHeight="1" x14ac:dyDescent="0.2">
      <c r="B830" s="203"/>
      <c r="C830" s="204"/>
      <c r="D830" s="205"/>
      <c r="E830" s="204"/>
      <c r="F830" s="204"/>
      <c r="G830" s="206"/>
    </row>
    <row r="831" spans="2:7" ht="15" customHeight="1" x14ac:dyDescent="0.2">
      <c r="B831" s="203"/>
      <c r="C831" s="204"/>
      <c r="D831" s="205"/>
      <c r="E831" s="204"/>
      <c r="F831" s="204"/>
      <c r="G831" s="206"/>
    </row>
    <row r="832" spans="2:7" ht="15" customHeight="1" x14ac:dyDescent="0.2">
      <c r="B832" s="203"/>
      <c r="C832" s="204"/>
      <c r="D832" s="205"/>
      <c r="E832" s="204"/>
      <c r="F832" s="204"/>
      <c r="G832" s="206"/>
    </row>
    <row r="833" spans="2:7" ht="15" customHeight="1" x14ac:dyDescent="0.2">
      <c r="B833" s="203"/>
      <c r="C833" s="204"/>
      <c r="D833" s="205"/>
      <c r="E833" s="204"/>
      <c r="F833" s="204"/>
      <c r="G833" s="206"/>
    </row>
    <row r="834" spans="2:7" ht="15" customHeight="1" x14ac:dyDescent="0.2">
      <c r="B834" s="203"/>
      <c r="C834" s="204"/>
      <c r="D834" s="205"/>
      <c r="E834" s="204"/>
      <c r="F834" s="204"/>
      <c r="G834" s="206"/>
    </row>
    <row r="835" spans="2:7" ht="15" customHeight="1" x14ac:dyDescent="0.2">
      <c r="B835" s="203"/>
      <c r="C835" s="204"/>
      <c r="D835" s="205"/>
      <c r="E835" s="204"/>
      <c r="F835" s="204"/>
      <c r="G835" s="206"/>
    </row>
    <row r="836" spans="2:7" ht="15" customHeight="1" x14ac:dyDescent="0.2">
      <c r="B836" s="203"/>
      <c r="C836" s="204"/>
      <c r="D836" s="205"/>
      <c r="E836" s="204"/>
      <c r="F836" s="204"/>
      <c r="G836" s="206"/>
    </row>
    <row r="837" spans="2:7" ht="15" customHeight="1" x14ac:dyDescent="0.2">
      <c r="B837" s="203"/>
      <c r="C837" s="204"/>
      <c r="D837" s="205"/>
      <c r="E837" s="204"/>
      <c r="F837" s="204"/>
      <c r="G837" s="206"/>
    </row>
    <row r="838" spans="2:7" ht="15" customHeight="1" x14ac:dyDescent="0.2">
      <c r="B838" s="203"/>
      <c r="C838" s="204"/>
      <c r="D838" s="205"/>
      <c r="E838" s="204"/>
      <c r="F838" s="204"/>
      <c r="G838" s="206"/>
    </row>
    <row r="839" spans="2:7" ht="15" customHeight="1" x14ac:dyDescent="0.2">
      <c r="B839" s="203"/>
      <c r="C839" s="204"/>
      <c r="D839" s="205"/>
      <c r="E839" s="204"/>
      <c r="F839" s="204"/>
      <c r="G839" s="206"/>
    </row>
    <row r="840" spans="2:7" ht="15" customHeight="1" x14ac:dyDescent="0.2">
      <c r="B840" s="203"/>
      <c r="C840" s="204"/>
      <c r="D840" s="205"/>
      <c r="E840" s="204"/>
      <c r="F840" s="204"/>
      <c r="G840" s="206"/>
    </row>
    <row r="841" spans="2:7" ht="15" customHeight="1" x14ac:dyDescent="0.2">
      <c r="B841" s="203"/>
      <c r="C841" s="204"/>
      <c r="D841" s="205"/>
      <c r="E841" s="204"/>
      <c r="F841" s="204"/>
      <c r="G841" s="206"/>
    </row>
    <row r="842" spans="2:7" ht="15" customHeight="1" x14ac:dyDescent="0.2">
      <c r="B842" s="203"/>
      <c r="C842" s="204"/>
      <c r="D842" s="205"/>
      <c r="E842" s="204"/>
      <c r="F842" s="204"/>
      <c r="G842" s="206"/>
    </row>
    <row r="843" spans="2:7" ht="15" customHeight="1" x14ac:dyDescent="0.2">
      <c r="B843" s="203"/>
      <c r="C843" s="204"/>
      <c r="D843" s="205"/>
      <c r="E843" s="204"/>
      <c r="F843" s="204"/>
      <c r="G843" s="206"/>
    </row>
    <row r="844" spans="2:7" ht="15" customHeight="1" x14ac:dyDescent="0.2">
      <c r="B844" s="203"/>
      <c r="C844" s="204"/>
      <c r="D844" s="205"/>
      <c r="E844" s="204"/>
      <c r="F844" s="204"/>
      <c r="G844" s="206"/>
    </row>
    <row r="845" spans="2:7" ht="15" customHeight="1" x14ac:dyDescent="0.2">
      <c r="B845" s="203"/>
      <c r="C845" s="204"/>
      <c r="D845" s="205"/>
      <c r="E845" s="204"/>
      <c r="F845" s="204"/>
      <c r="G845" s="206"/>
    </row>
    <row r="846" spans="2:7" ht="15" customHeight="1" x14ac:dyDescent="0.2">
      <c r="B846" s="203"/>
      <c r="C846" s="204"/>
      <c r="D846" s="205"/>
      <c r="E846" s="204"/>
      <c r="F846" s="204"/>
      <c r="G846" s="206"/>
    </row>
    <row r="847" spans="2:7" ht="15" customHeight="1" x14ac:dyDescent="0.2">
      <c r="B847" s="203"/>
      <c r="C847" s="204"/>
      <c r="D847" s="205"/>
      <c r="E847" s="204"/>
      <c r="F847" s="204"/>
      <c r="G847" s="206"/>
    </row>
    <row r="848" spans="2:7" ht="15" customHeight="1" x14ac:dyDescent="0.2">
      <c r="B848" s="203"/>
      <c r="C848" s="204"/>
      <c r="D848" s="205"/>
      <c r="E848" s="204"/>
      <c r="F848" s="204"/>
      <c r="G848" s="206"/>
    </row>
    <row r="849" spans="2:7" ht="15" customHeight="1" x14ac:dyDescent="0.2">
      <c r="B849" s="203"/>
      <c r="C849" s="204"/>
      <c r="D849" s="205"/>
      <c r="E849" s="204"/>
      <c r="F849" s="204"/>
      <c r="G849" s="206"/>
    </row>
    <row r="850" spans="2:7" ht="15" customHeight="1" x14ac:dyDescent="0.2">
      <c r="B850" s="203"/>
      <c r="C850" s="204"/>
      <c r="D850" s="205"/>
      <c r="E850" s="204"/>
      <c r="F850" s="204"/>
      <c r="G850" s="206"/>
    </row>
    <row r="851" spans="2:7" ht="15" customHeight="1" x14ac:dyDescent="0.2">
      <c r="B851" s="203"/>
      <c r="C851" s="204"/>
      <c r="D851" s="205"/>
      <c r="E851" s="204"/>
      <c r="F851" s="204"/>
      <c r="G851" s="206"/>
    </row>
    <row r="852" spans="2:7" ht="15" customHeight="1" x14ac:dyDescent="0.2">
      <c r="B852" s="203"/>
      <c r="C852" s="204"/>
      <c r="D852" s="205"/>
      <c r="E852" s="204"/>
      <c r="F852" s="204"/>
      <c r="G852" s="206"/>
    </row>
    <row r="853" spans="2:7" ht="15" customHeight="1" x14ac:dyDescent="0.2">
      <c r="B853" s="203"/>
      <c r="C853" s="204"/>
      <c r="D853" s="205"/>
      <c r="E853" s="204"/>
      <c r="F853" s="204"/>
      <c r="G853" s="206"/>
    </row>
    <row r="854" spans="2:7" ht="15" customHeight="1" x14ac:dyDescent="0.2">
      <c r="B854" s="203"/>
      <c r="C854" s="204"/>
      <c r="D854" s="205"/>
      <c r="E854" s="204"/>
      <c r="F854" s="204"/>
      <c r="G854" s="206"/>
    </row>
    <row r="855" spans="2:7" ht="15" customHeight="1" x14ac:dyDescent="0.2">
      <c r="B855" s="203"/>
      <c r="C855" s="204"/>
      <c r="D855" s="205"/>
      <c r="E855" s="204"/>
      <c r="F855" s="204"/>
      <c r="G855" s="206"/>
    </row>
    <row r="856" spans="2:7" ht="15" customHeight="1" x14ac:dyDescent="0.2">
      <c r="B856" s="203"/>
      <c r="C856" s="204"/>
      <c r="D856" s="205"/>
      <c r="E856" s="204"/>
      <c r="F856" s="204"/>
      <c r="G856" s="206"/>
    </row>
    <row r="857" spans="2:7" ht="15" customHeight="1" x14ac:dyDescent="0.2">
      <c r="B857" s="203"/>
      <c r="C857" s="204"/>
      <c r="D857" s="205"/>
      <c r="E857" s="204"/>
      <c r="F857" s="204"/>
      <c r="G857" s="206"/>
    </row>
    <row r="858" spans="2:7" ht="15" customHeight="1" x14ac:dyDescent="0.2">
      <c r="B858" s="203"/>
      <c r="C858" s="204"/>
      <c r="D858" s="205"/>
      <c r="E858" s="204"/>
      <c r="F858" s="204"/>
      <c r="G858" s="206"/>
    </row>
    <row r="859" spans="2:7" ht="15" customHeight="1" x14ac:dyDescent="0.2">
      <c r="B859" s="203"/>
      <c r="C859" s="204"/>
      <c r="D859" s="205"/>
      <c r="E859" s="204"/>
      <c r="F859" s="204"/>
      <c r="G859" s="206"/>
    </row>
    <row r="860" spans="2:7" ht="15" customHeight="1" x14ac:dyDescent="0.2">
      <c r="B860" s="203"/>
      <c r="C860" s="204"/>
      <c r="D860" s="205"/>
      <c r="E860" s="204"/>
      <c r="F860" s="204"/>
      <c r="G860" s="206"/>
    </row>
    <row r="861" spans="2:7" ht="15" customHeight="1" x14ac:dyDescent="0.2">
      <c r="B861" s="203"/>
      <c r="C861" s="204"/>
      <c r="D861" s="205"/>
      <c r="E861" s="204"/>
      <c r="F861" s="204"/>
      <c r="G861" s="206"/>
    </row>
    <row r="862" spans="2:7" ht="15" customHeight="1" x14ac:dyDescent="0.2">
      <c r="B862" s="203"/>
      <c r="C862" s="204"/>
      <c r="D862" s="205"/>
      <c r="E862" s="204"/>
      <c r="F862" s="204"/>
      <c r="G862" s="206"/>
    </row>
    <row r="863" spans="2:7" ht="15" customHeight="1" x14ac:dyDescent="0.2">
      <c r="B863" s="203"/>
      <c r="C863" s="204"/>
      <c r="D863" s="205"/>
      <c r="E863" s="204"/>
      <c r="F863" s="204"/>
      <c r="G863" s="206"/>
    </row>
    <row r="864" spans="2:7" ht="15" customHeight="1" x14ac:dyDescent="0.2">
      <c r="B864" s="203"/>
      <c r="C864" s="204"/>
      <c r="D864" s="205"/>
      <c r="E864" s="204"/>
      <c r="F864" s="204"/>
      <c r="G864" s="206"/>
    </row>
    <row r="865" spans="2:7" ht="15" customHeight="1" x14ac:dyDescent="0.2">
      <c r="B865" s="203"/>
      <c r="C865" s="204"/>
      <c r="D865" s="205"/>
      <c r="E865" s="204"/>
      <c r="F865" s="204"/>
      <c r="G865" s="206"/>
    </row>
    <row r="866" spans="2:7" ht="15" customHeight="1" x14ac:dyDescent="0.2">
      <c r="B866" s="203"/>
      <c r="C866" s="204"/>
      <c r="D866" s="205"/>
      <c r="E866" s="204"/>
      <c r="F866" s="204"/>
      <c r="G866" s="206"/>
    </row>
    <row r="867" spans="2:7" ht="15" customHeight="1" x14ac:dyDescent="0.2">
      <c r="B867" s="203"/>
      <c r="C867" s="204"/>
      <c r="D867" s="205"/>
      <c r="E867" s="204"/>
      <c r="F867" s="204"/>
      <c r="G867" s="206"/>
    </row>
    <row r="868" spans="2:7" ht="15" customHeight="1" x14ac:dyDescent="0.2">
      <c r="B868" s="203"/>
      <c r="C868" s="204"/>
      <c r="D868" s="205"/>
      <c r="E868" s="204"/>
      <c r="F868" s="204"/>
      <c r="G868" s="206"/>
    </row>
    <row r="869" spans="2:7" ht="15" customHeight="1" x14ac:dyDescent="0.2">
      <c r="B869" s="203"/>
      <c r="C869" s="204"/>
      <c r="D869" s="205"/>
      <c r="E869" s="204"/>
      <c r="F869" s="204"/>
      <c r="G869" s="206"/>
    </row>
    <row r="870" spans="2:7" ht="15" customHeight="1" x14ac:dyDescent="0.2">
      <c r="B870" s="203"/>
      <c r="C870" s="204"/>
      <c r="D870" s="205"/>
      <c r="E870" s="204"/>
      <c r="F870" s="204"/>
      <c r="G870" s="206"/>
    </row>
    <row r="871" spans="2:7" ht="15" customHeight="1" x14ac:dyDescent="0.2">
      <c r="B871" s="203"/>
      <c r="C871" s="204"/>
      <c r="D871" s="205"/>
      <c r="E871" s="204"/>
      <c r="F871" s="204"/>
      <c r="G871" s="206"/>
    </row>
    <row r="872" spans="2:7" ht="15" customHeight="1" x14ac:dyDescent="0.2">
      <c r="B872" s="203"/>
      <c r="C872" s="204"/>
      <c r="D872" s="205"/>
      <c r="E872" s="204"/>
      <c r="F872" s="204"/>
      <c r="G872" s="206"/>
    </row>
    <row r="873" spans="2:7" ht="15" customHeight="1" x14ac:dyDescent="0.2">
      <c r="B873" s="203"/>
      <c r="C873" s="204"/>
      <c r="D873" s="205"/>
      <c r="E873" s="204"/>
      <c r="F873" s="204"/>
      <c r="G873" s="206"/>
    </row>
    <row r="874" spans="2:7" ht="15" customHeight="1" x14ac:dyDescent="0.2">
      <c r="B874" s="203"/>
      <c r="C874" s="204"/>
      <c r="D874" s="205"/>
      <c r="E874" s="204"/>
      <c r="F874" s="204"/>
      <c r="G874" s="206"/>
    </row>
    <row r="875" spans="2:7" ht="15" customHeight="1" x14ac:dyDescent="0.2">
      <c r="B875" s="203"/>
      <c r="C875" s="204"/>
      <c r="D875" s="205"/>
      <c r="E875" s="204"/>
      <c r="F875" s="204"/>
      <c r="G875" s="206"/>
    </row>
    <row r="876" spans="2:7" ht="15" customHeight="1" x14ac:dyDescent="0.2">
      <c r="B876" s="203"/>
      <c r="C876" s="204"/>
      <c r="D876" s="205"/>
      <c r="E876" s="204"/>
      <c r="F876" s="204"/>
      <c r="G876" s="206"/>
    </row>
    <row r="877" spans="2:7" ht="15" customHeight="1" x14ac:dyDescent="0.2">
      <c r="B877" s="203"/>
      <c r="C877" s="204"/>
      <c r="D877" s="205"/>
      <c r="E877" s="204"/>
      <c r="F877" s="204"/>
      <c r="G877" s="206"/>
    </row>
    <row r="878" spans="2:7" ht="15" customHeight="1" x14ac:dyDescent="0.2">
      <c r="B878" s="203"/>
      <c r="C878" s="204"/>
      <c r="D878" s="205"/>
      <c r="E878" s="204"/>
      <c r="F878" s="204"/>
      <c r="G878" s="206"/>
    </row>
    <row r="879" spans="2:7" ht="15" customHeight="1" x14ac:dyDescent="0.2">
      <c r="B879" s="203"/>
      <c r="C879" s="204"/>
      <c r="D879" s="205"/>
      <c r="E879" s="204"/>
      <c r="F879" s="204"/>
      <c r="G879" s="206"/>
    </row>
    <row r="880" spans="2:7" ht="15" customHeight="1" x14ac:dyDescent="0.2">
      <c r="B880" s="203"/>
      <c r="C880" s="204"/>
      <c r="D880" s="205"/>
      <c r="E880" s="204"/>
      <c r="F880" s="204"/>
      <c r="G880" s="206"/>
    </row>
    <row r="881" spans="2:7" ht="15" customHeight="1" x14ac:dyDescent="0.2">
      <c r="B881" s="203"/>
      <c r="C881" s="204"/>
      <c r="D881" s="205"/>
      <c r="E881" s="204"/>
      <c r="F881" s="204"/>
      <c r="G881" s="206"/>
    </row>
    <row r="882" spans="2:7" ht="15" customHeight="1" x14ac:dyDescent="0.2">
      <c r="B882" s="203"/>
      <c r="C882" s="204"/>
      <c r="D882" s="205"/>
      <c r="E882" s="204"/>
      <c r="F882" s="204"/>
      <c r="G882" s="206"/>
    </row>
    <row r="883" spans="2:7" ht="15" customHeight="1" x14ac:dyDescent="0.2">
      <c r="B883" s="203"/>
      <c r="C883" s="204"/>
      <c r="D883" s="205"/>
      <c r="E883" s="204"/>
      <c r="F883" s="204"/>
      <c r="G883" s="206"/>
    </row>
    <row r="884" spans="2:7" ht="15" customHeight="1" x14ac:dyDescent="0.2">
      <c r="B884" s="203"/>
      <c r="C884" s="204"/>
      <c r="D884" s="205"/>
      <c r="E884" s="204"/>
      <c r="F884" s="204"/>
      <c r="G884" s="206"/>
    </row>
    <row r="885" spans="2:7" ht="15" customHeight="1" x14ac:dyDescent="0.2">
      <c r="B885" s="203"/>
      <c r="C885" s="204"/>
      <c r="D885" s="205"/>
      <c r="E885" s="204"/>
      <c r="F885" s="204"/>
      <c r="G885" s="206"/>
    </row>
    <row r="886" spans="2:7" ht="15" customHeight="1" x14ac:dyDescent="0.2">
      <c r="B886" s="203"/>
      <c r="C886" s="204"/>
      <c r="D886" s="205"/>
      <c r="E886" s="204"/>
      <c r="F886" s="204"/>
      <c r="G886" s="206"/>
    </row>
    <row r="887" spans="2:7" ht="15" customHeight="1" x14ac:dyDescent="0.2">
      <c r="B887" s="203"/>
      <c r="C887" s="204"/>
      <c r="D887" s="205"/>
      <c r="E887" s="204"/>
      <c r="F887" s="204"/>
      <c r="G887" s="206"/>
    </row>
    <row r="888" spans="2:7" ht="15" customHeight="1" x14ac:dyDescent="0.2">
      <c r="B888" s="203"/>
      <c r="C888" s="204"/>
      <c r="D888" s="205"/>
      <c r="E888" s="204"/>
      <c r="F888" s="204"/>
      <c r="G888" s="206"/>
    </row>
    <row r="889" spans="2:7" ht="15" customHeight="1" x14ac:dyDescent="0.2">
      <c r="B889" s="203"/>
      <c r="C889" s="204"/>
      <c r="D889" s="205"/>
      <c r="E889" s="204"/>
      <c r="F889" s="204"/>
      <c r="G889" s="206"/>
    </row>
    <row r="890" spans="2:7" ht="15" customHeight="1" x14ac:dyDescent="0.2">
      <c r="B890" s="203"/>
      <c r="C890" s="204"/>
      <c r="D890" s="205"/>
      <c r="E890" s="204"/>
      <c r="F890" s="204"/>
      <c r="G890" s="206"/>
    </row>
    <row r="891" spans="2:7" ht="15" customHeight="1" x14ac:dyDescent="0.2">
      <c r="B891" s="203"/>
      <c r="C891" s="204"/>
      <c r="D891" s="205"/>
      <c r="E891" s="204"/>
      <c r="F891" s="204"/>
      <c r="G891" s="206"/>
    </row>
    <row r="892" spans="2:7" ht="15" customHeight="1" x14ac:dyDescent="0.2">
      <c r="B892" s="203"/>
      <c r="C892" s="204"/>
      <c r="D892" s="205"/>
      <c r="E892" s="204"/>
      <c r="F892" s="204"/>
      <c r="G892" s="206"/>
    </row>
    <row r="893" spans="2:7" ht="15" customHeight="1" x14ac:dyDescent="0.2">
      <c r="B893" s="203"/>
      <c r="C893" s="204"/>
      <c r="D893" s="205"/>
      <c r="E893" s="204"/>
      <c r="F893" s="204"/>
      <c r="G893" s="206"/>
    </row>
    <row r="894" spans="2:7" ht="15" customHeight="1" x14ac:dyDescent="0.2">
      <c r="B894" s="203"/>
      <c r="C894" s="204"/>
      <c r="D894" s="205"/>
      <c r="E894" s="204"/>
      <c r="F894" s="204"/>
      <c r="G894" s="206"/>
    </row>
    <row r="895" spans="2:7" ht="15" customHeight="1" x14ac:dyDescent="0.2">
      <c r="B895" s="203"/>
      <c r="C895" s="204"/>
      <c r="D895" s="205"/>
      <c r="E895" s="204"/>
      <c r="F895" s="204"/>
      <c r="G895" s="206"/>
    </row>
    <row r="896" spans="2:7" ht="15" customHeight="1" x14ac:dyDescent="0.2">
      <c r="B896" s="203"/>
      <c r="C896" s="204"/>
      <c r="D896" s="205"/>
      <c r="E896" s="204"/>
      <c r="F896" s="204"/>
      <c r="G896" s="206"/>
    </row>
    <row r="897" spans="2:7" ht="15" customHeight="1" x14ac:dyDescent="0.2">
      <c r="B897" s="203"/>
      <c r="C897" s="204"/>
      <c r="D897" s="205"/>
      <c r="E897" s="204"/>
      <c r="F897" s="204"/>
      <c r="G897" s="206"/>
    </row>
    <row r="898" spans="2:7" ht="15" customHeight="1" x14ac:dyDescent="0.2">
      <c r="B898" s="203"/>
      <c r="C898" s="204"/>
      <c r="D898" s="205"/>
      <c r="E898" s="204"/>
      <c r="F898" s="204"/>
      <c r="G898" s="206"/>
    </row>
    <row r="899" spans="2:7" ht="15" customHeight="1" x14ac:dyDescent="0.2">
      <c r="B899" s="203"/>
      <c r="C899" s="204"/>
      <c r="D899" s="205"/>
      <c r="E899" s="204"/>
      <c r="F899" s="204"/>
      <c r="G899" s="206"/>
    </row>
    <row r="900" spans="2:7" ht="15" customHeight="1" x14ac:dyDescent="0.2">
      <c r="B900" s="203"/>
      <c r="C900" s="204"/>
      <c r="D900" s="205"/>
      <c r="E900" s="204"/>
      <c r="F900" s="204"/>
      <c r="G900" s="206"/>
    </row>
    <row r="901" spans="2:7" ht="15" customHeight="1" x14ac:dyDescent="0.2">
      <c r="B901" s="203"/>
      <c r="C901" s="204"/>
      <c r="D901" s="205"/>
      <c r="E901" s="204"/>
      <c r="F901" s="204"/>
      <c r="G901" s="206"/>
    </row>
    <row r="902" spans="2:7" ht="15" customHeight="1" x14ac:dyDescent="0.2">
      <c r="B902" s="203"/>
      <c r="C902" s="204"/>
      <c r="D902" s="205"/>
      <c r="E902" s="204"/>
      <c r="F902" s="204"/>
      <c r="G902" s="206"/>
    </row>
    <row r="903" spans="2:7" ht="15" customHeight="1" x14ac:dyDescent="0.2">
      <c r="B903" s="203"/>
      <c r="C903" s="204"/>
      <c r="D903" s="205"/>
      <c r="E903" s="204"/>
      <c r="F903" s="204"/>
      <c r="G903" s="206"/>
    </row>
    <row r="904" spans="2:7" ht="15" customHeight="1" x14ac:dyDescent="0.2">
      <c r="B904" s="203"/>
      <c r="C904" s="204"/>
      <c r="D904" s="205"/>
      <c r="E904" s="204"/>
      <c r="F904" s="204"/>
      <c r="G904" s="206"/>
    </row>
    <row r="905" spans="2:7" ht="15" customHeight="1" x14ac:dyDescent="0.2">
      <c r="B905" s="203"/>
      <c r="C905" s="204"/>
      <c r="D905" s="205"/>
      <c r="E905" s="204"/>
      <c r="F905" s="204"/>
      <c r="G905" s="206"/>
    </row>
    <row r="906" spans="2:7" ht="15" customHeight="1" x14ac:dyDescent="0.2">
      <c r="B906" s="203"/>
      <c r="C906" s="204"/>
      <c r="D906" s="205"/>
      <c r="E906" s="204"/>
      <c r="F906" s="204"/>
      <c r="G906" s="206"/>
    </row>
    <row r="907" spans="2:7" ht="15" customHeight="1" x14ac:dyDescent="0.2">
      <c r="B907" s="203"/>
      <c r="C907" s="204"/>
      <c r="D907" s="205"/>
      <c r="E907" s="204"/>
      <c r="F907" s="204"/>
      <c r="G907" s="206"/>
    </row>
    <row r="908" spans="2:7" ht="15" customHeight="1" x14ac:dyDescent="0.2">
      <c r="B908" s="203"/>
      <c r="C908" s="204"/>
      <c r="D908" s="205"/>
      <c r="E908" s="204"/>
      <c r="F908" s="204"/>
      <c r="G908" s="206"/>
    </row>
    <row r="909" spans="2:7" ht="15" customHeight="1" x14ac:dyDescent="0.2">
      <c r="B909" s="203"/>
      <c r="C909" s="204"/>
      <c r="D909" s="205"/>
      <c r="E909" s="204"/>
      <c r="F909" s="204"/>
      <c r="G909" s="206"/>
    </row>
    <row r="910" spans="2:7" ht="15" customHeight="1" x14ac:dyDescent="0.2">
      <c r="B910" s="203"/>
      <c r="C910" s="204"/>
      <c r="D910" s="205"/>
      <c r="E910" s="204"/>
      <c r="F910" s="204"/>
      <c r="G910" s="206"/>
    </row>
    <row r="911" spans="2:7" ht="15" customHeight="1" x14ac:dyDescent="0.2">
      <c r="B911" s="203"/>
      <c r="C911" s="204"/>
      <c r="D911" s="205"/>
      <c r="E911" s="204"/>
      <c r="F911" s="204"/>
      <c r="G911" s="206"/>
    </row>
    <row r="912" spans="2:7" ht="15" customHeight="1" x14ac:dyDescent="0.2">
      <c r="B912" s="203"/>
      <c r="C912" s="204"/>
      <c r="D912" s="205"/>
      <c r="E912" s="204"/>
      <c r="F912" s="204"/>
      <c r="G912" s="206"/>
    </row>
    <row r="913" spans="2:7" ht="15" customHeight="1" x14ac:dyDescent="0.2">
      <c r="B913" s="203"/>
      <c r="C913" s="204"/>
      <c r="D913" s="205"/>
      <c r="E913" s="204"/>
      <c r="F913" s="204"/>
      <c r="G913" s="206"/>
    </row>
    <row r="914" spans="2:7" ht="15" customHeight="1" x14ac:dyDescent="0.2">
      <c r="B914" s="203"/>
      <c r="C914" s="204"/>
      <c r="D914" s="205"/>
      <c r="E914" s="204"/>
      <c r="F914" s="204"/>
      <c r="G914" s="206"/>
    </row>
    <row r="915" spans="2:7" ht="15" customHeight="1" x14ac:dyDescent="0.2">
      <c r="B915" s="203"/>
      <c r="C915" s="204"/>
      <c r="D915" s="205"/>
      <c r="E915" s="204"/>
      <c r="F915" s="204"/>
      <c r="G915" s="206"/>
    </row>
    <row r="916" spans="2:7" ht="15" customHeight="1" x14ac:dyDescent="0.2">
      <c r="B916" s="203"/>
      <c r="C916" s="204"/>
      <c r="D916" s="205"/>
      <c r="E916" s="204"/>
      <c r="F916" s="204"/>
      <c r="G916" s="206"/>
    </row>
    <row r="917" spans="2:7" ht="15" customHeight="1" x14ac:dyDescent="0.2">
      <c r="B917" s="203"/>
      <c r="C917" s="204"/>
      <c r="D917" s="205"/>
      <c r="E917" s="204"/>
      <c r="F917" s="204"/>
      <c r="G917" s="206"/>
    </row>
    <row r="918" spans="2:7" ht="15" customHeight="1" x14ac:dyDescent="0.2">
      <c r="B918" s="203"/>
      <c r="C918" s="204"/>
      <c r="D918" s="205"/>
      <c r="E918" s="204"/>
      <c r="F918" s="204"/>
      <c r="G918" s="206"/>
    </row>
    <row r="919" spans="2:7" ht="15" customHeight="1" x14ac:dyDescent="0.2">
      <c r="B919" s="203"/>
      <c r="C919" s="204"/>
      <c r="D919" s="205"/>
      <c r="E919" s="204"/>
      <c r="F919" s="204"/>
      <c r="G919" s="206"/>
    </row>
    <row r="920" spans="2:7" ht="15" customHeight="1" x14ac:dyDescent="0.2">
      <c r="B920" s="203"/>
      <c r="C920" s="204"/>
      <c r="D920" s="205"/>
      <c r="E920" s="204"/>
      <c r="F920" s="204"/>
      <c r="G920" s="206"/>
    </row>
    <row r="921" spans="2:7" ht="15" customHeight="1" x14ac:dyDescent="0.2">
      <c r="B921" s="203"/>
      <c r="C921" s="204"/>
      <c r="D921" s="205"/>
      <c r="E921" s="204"/>
      <c r="F921" s="204"/>
      <c r="G921" s="206"/>
    </row>
    <row r="922" spans="2:7" ht="15" customHeight="1" x14ac:dyDescent="0.2">
      <c r="B922" s="203"/>
      <c r="C922" s="204"/>
      <c r="D922" s="205"/>
      <c r="E922" s="204"/>
      <c r="F922" s="204"/>
      <c r="G922" s="206"/>
    </row>
    <row r="923" spans="2:7" ht="15" customHeight="1" x14ac:dyDescent="0.2">
      <c r="B923" s="203"/>
      <c r="C923" s="204"/>
      <c r="D923" s="205"/>
      <c r="E923" s="204"/>
      <c r="F923" s="204"/>
      <c r="G923" s="206"/>
    </row>
    <row r="924" spans="2:7" ht="15" customHeight="1" x14ac:dyDescent="0.2">
      <c r="B924" s="203"/>
      <c r="C924" s="204"/>
      <c r="D924" s="205"/>
      <c r="E924" s="204"/>
      <c r="F924" s="204"/>
      <c r="G924" s="206"/>
    </row>
    <row r="925" spans="2:7" ht="15" customHeight="1" x14ac:dyDescent="0.2">
      <c r="B925" s="203"/>
      <c r="C925" s="204"/>
      <c r="D925" s="205"/>
      <c r="E925" s="204"/>
      <c r="F925" s="204"/>
      <c r="G925" s="206"/>
    </row>
    <row r="926" spans="2:7" ht="15" customHeight="1" x14ac:dyDescent="0.2">
      <c r="B926" s="203"/>
      <c r="C926" s="204"/>
      <c r="D926" s="205"/>
      <c r="E926" s="204"/>
      <c r="F926" s="204"/>
      <c r="G926" s="206"/>
    </row>
    <row r="927" spans="2:7" ht="15" customHeight="1" x14ac:dyDescent="0.2">
      <c r="B927" s="203"/>
      <c r="C927" s="204"/>
      <c r="D927" s="205"/>
      <c r="E927" s="204"/>
      <c r="F927" s="204"/>
      <c r="G927" s="206"/>
    </row>
    <row r="928" spans="2:7" ht="15" customHeight="1" x14ac:dyDescent="0.2">
      <c r="B928" s="203"/>
      <c r="C928" s="204"/>
      <c r="D928" s="205"/>
      <c r="E928" s="204"/>
      <c r="F928" s="204"/>
      <c r="G928" s="206"/>
    </row>
    <row r="929" spans="2:7" ht="15" customHeight="1" x14ac:dyDescent="0.2">
      <c r="B929" s="203"/>
      <c r="C929" s="204"/>
      <c r="D929" s="205"/>
      <c r="E929" s="204"/>
      <c r="F929" s="204"/>
      <c r="G929" s="206"/>
    </row>
    <row r="930" spans="2:7" ht="15" customHeight="1" x14ac:dyDescent="0.2">
      <c r="B930" s="203"/>
      <c r="C930" s="204"/>
      <c r="D930" s="205"/>
      <c r="E930" s="204"/>
      <c r="F930" s="204"/>
      <c r="G930" s="206"/>
    </row>
    <row r="931" spans="2:7" ht="15" customHeight="1" x14ac:dyDescent="0.2">
      <c r="B931" s="203"/>
      <c r="C931" s="204"/>
      <c r="D931" s="205"/>
      <c r="E931" s="204"/>
      <c r="F931" s="204"/>
      <c r="G931" s="206"/>
    </row>
    <row r="932" spans="2:7" ht="15" customHeight="1" x14ac:dyDescent="0.2">
      <c r="B932" s="203"/>
      <c r="C932" s="204"/>
      <c r="D932" s="205"/>
      <c r="E932" s="204"/>
      <c r="F932" s="204"/>
      <c r="G932" s="206"/>
    </row>
    <row r="933" spans="2:7" ht="15" customHeight="1" x14ac:dyDescent="0.2">
      <c r="B933" s="203"/>
      <c r="C933" s="204"/>
      <c r="D933" s="205"/>
      <c r="E933" s="204"/>
      <c r="F933" s="204"/>
      <c r="G933" s="206"/>
    </row>
    <row r="934" spans="2:7" ht="15" customHeight="1" x14ac:dyDescent="0.2">
      <c r="B934" s="203"/>
      <c r="C934" s="204"/>
      <c r="D934" s="205"/>
      <c r="E934" s="204"/>
      <c r="F934" s="204"/>
      <c r="G934" s="206"/>
    </row>
    <row r="935" spans="2:7" ht="15" customHeight="1" x14ac:dyDescent="0.2">
      <c r="B935" s="203"/>
      <c r="C935" s="204"/>
      <c r="D935" s="205"/>
      <c r="E935" s="204"/>
      <c r="F935" s="204"/>
      <c r="G935" s="206"/>
    </row>
    <row r="936" spans="2:7" ht="15" customHeight="1" x14ac:dyDescent="0.2">
      <c r="B936" s="203"/>
      <c r="C936" s="204"/>
      <c r="D936" s="205"/>
      <c r="E936" s="204"/>
      <c r="F936" s="204"/>
      <c r="G936" s="206"/>
    </row>
    <row r="937" spans="2:7" ht="15" customHeight="1" x14ac:dyDescent="0.2">
      <c r="B937" s="203"/>
      <c r="C937" s="204"/>
      <c r="D937" s="205"/>
      <c r="E937" s="204"/>
      <c r="F937" s="204"/>
      <c r="G937" s="206"/>
    </row>
    <row r="938" spans="2:7" ht="15" customHeight="1" x14ac:dyDescent="0.2">
      <c r="B938" s="203"/>
      <c r="C938" s="204"/>
      <c r="D938" s="205"/>
      <c r="E938" s="204"/>
      <c r="F938" s="204"/>
      <c r="G938" s="206"/>
    </row>
    <row r="939" spans="2:7" ht="15" customHeight="1" x14ac:dyDescent="0.2">
      <c r="B939" s="203"/>
      <c r="C939" s="204"/>
      <c r="D939" s="205"/>
      <c r="E939" s="204"/>
      <c r="F939" s="204"/>
      <c r="G939" s="206"/>
    </row>
    <row r="940" spans="2:7" ht="15" customHeight="1" x14ac:dyDescent="0.2">
      <c r="B940" s="203"/>
      <c r="C940" s="204"/>
      <c r="D940" s="205"/>
      <c r="E940" s="204"/>
      <c r="F940" s="204"/>
      <c r="G940" s="206"/>
    </row>
    <row r="941" spans="2:7" ht="15" customHeight="1" x14ac:dyDescent="0.2">
      <c r="B941" s="203"/>
      <c r="C941" s="204"/>
      <c r="D941" s="205"/>
      <c r="E941" s="204"/>
      <c r="F941" s="204"/>
      <c r="G941" s="206"/>
    </row>
    <row r="942" spans="2:7" ht="15" customHeight="1" x14ac:dyDescent="0.2">
      <c r="B942" s="203"/>
      <c r="C942" s="204"/>
      <c r="D942" s="205"/>
      <c r="E942" s="204"/>
      <c r="F942" s="204"/>
      <c r="G942" s="206"/>
    </row>
    <row r="943" spans="2:7" ht="15" customHeight="1" x14ac:dyDescent="0.2">
      <c r="B943" s="203"/>
      <c r="C943" s="204"/>
      <c r="D943" s="205"/>
      <c r="E943" s="204"/>
      <c r="F943" s="204"/>
      <c r="G943" s="206"/>
    </row>
    <row r="944" spans="2:7" ht="15" customHeight="1" x14ac:dyDescent="0.2">
      <c r="B944" s="203"/>
      <c r="C944" s="204"/>
      <c r="D944" s="205"/>
      <c r="E944" s="204"/>
      <c r="F944" s="204"/>
      <c r="G944" s="206"/>
    </row>
    <row r="945" spans="2:7" ht="15" customHeight="1" x14ac:dyDescent="0.2">
      <c r="B945" s="203"/>
      <c r="C945" s="204"/>
      <c r="D945" s="205"/>
      <c r="E945" s="204"/>
      <c r="F945" s="204"/>
      <c r="G945" s="206"/>
    </row>
    <row r="946" spans="2:7" ht="15" customHeight="1" x14ac:dyDescent="0.2">
      <c r="B946" s="203"/>
      <c r="C946" s="204"/>
      <c r="D946" s="205"/>
      <c r="E946" s="204"/>
      <c r="F946" s="204"/>
      <c r="G946" s="206"/>
    </row>
    <row r="947" spans="2:7" ht="15" customHeight="1" x14ac:dyDescent="0.2">
      <c r="B947" s="203"/>
      <c r="C947" s="204"/>
      <c r="D947" s="205"/>
      <c r="E947" s="204"/>
      <c r="F947" s="204"/>
      <c r="G947" s="206"/>
    </row>
    <row r="948" spans="2:7" ht="15" customHeight="1" x14ac:dyDescent="0.2">
      <c r="B948" s="203"/>
      <c r="C948" s="204"/>
      <c r="D948" s="205"/>
      <c r="E948" s="204"/>
      <c r="F948" s="204"/>
      <c r="G948" s="206"/>
    </row>
    <row r="949" spans="2:7" ht="15" customHeight="1" x14ac:dyDescent="0.2">
      <c r="B949" s="203"/>
      <c r="C949" s="204"/>
      <c r="D949" s="205"/>
      <c r="E949" s="204"/>
      <c r="F949" s="204"/>
      <c r="G949" s="206"/>
    </row>
    <row r="950" spans="2:7" ht="15" customHeight="1" x14ac:dyDescent="0.2">
      <c r="B950" s="203"/>
      <c r="C950" s="204"/>
      <c r="D950" s="205"/>
      <c r="E950" s="204"/>
      <c r="F950" s="204"/>
      <c r="G950" s="206"/>
    </row>
    <row r="951" spans="2:7" ht="15" customHeight="1" x14ac:dyDescent="0.2">
      <c r="B951" s="203"/>
      <c r="C951" s="204"/>
      <c r="D951" s="205"/>
      <c r="E951" s="204"/>
      <c r="F951" s="204"/>
      <c r="G951" s="206"/>
    </row>
    <row r="952" spans="2:7" ht="15" customHeight="1" x14ac:dyDescent="0.2">
      <c r="B952" s="203"/>
      <c r="C952" s="204"/>
      <c r="D952" s="205"/>
      <c r="E952" s="204"/>
      <c r="F952" s="204"/>
      <c r="G952" s="206"/>
    </row>
    <row r="953" spans="2:7" ht="15" customHeight="1" x14ac:dyDescent="0.2">
      <c r="B953" s="203"/>
      <c r="C953" s="204"/>
      <c r="D953" s="205"/>
      <c r="E953" s="204"/>
      <c r="F953" s="204"/>
      <c r="G953" s="206"/>
    </row>
    <row r="954" spans="2:7" ht="15" customHeight="1" x14ac:dyDescent="0.2">
      <c r="B954" s="203"/>
      <c r="C954" s="204"/>
      <c r="D954" s="205"/>
      <c r="E954" s="204"/>
      <c r="F954" s="204"/>
      <c r="G954" s="206"/>
    </row>
    <row r="955" spans="2:7" ht="15" customHeight="1" x14ac:dyDescent="0.2">
      <c r="B955" s="203"/>
      <c r="C955" s="204"/>
      <c r="D955" s="205"/>
      <c r="E955" s="204"/>
      <c r="F955" s="204"/>
      <c r="G955" s="206"/>
    </row>
    <row r="956" spans="2:7" ht="15" customHeight="1" x14ac:dyDescent="0.2">
      <c r="B956" s="203"/>
      <c r="C956" s="204"/>
      <c r="D956" s="205"/>
      <c r="E956" s="204"/>
      <c r="F956" s="204"/>
      <c r="G956" s="206"/>
    </row>
    <row r="957" spans="2:7" ht="15" customHeight="1" x14ac:dyDescent="0.2">
      <c r="B957" s="203"/>
      <c r="C957" s="204"/>
      <c r="D957" s="205"/>
      <c r="E957" s="204"/>
      <c r="F957" s="204"/>
      <c r="G957" s="206"/>
    </row>
    <row r="958" spans="2:7" ht="15" customHeight="1" x14ac:dyDescent="0.2">
      <c r="B958" s="203"/>
      <c r="C958" s="204"/>
      <c r="D958" s="205"/>
      <c r="E958" s="204"/>
      <c r="F958" s="204"/>
      <c r="G958" s="206"/>
    </row>
    <row r="959" spans="2:7" ht="15" customHeight="1" x14ac:dyDescent="0.2">
      <c r="B959" s="203"/>
      <c r="C959" s="204"/>
      <c r="D959" s="205"/>
      <c r="E959" s="204"/>
      <c r="F959" s="204"/>
      <c r="G959" s="206"/>
    </row>
    <row r="960" spans="2:7" ht="15" customHeight="1" x14ac:dyDescent="0.2">
      <c r="B960" s="203"/>
      <c r="C960" s="204"/>
      <c r="D960" s="205"/>
      <c r="E960" s="204"/>
      <c r="F960" s="204"/>
      <c r="G960" s="206"/>
    </row>
    <row r="961" spans="2:7" ht="15" customHeight="1" x14ac:dyDescent="0.2">
      <c r="B961" s="203"/>
      <c r="C961" s="204"/>
      <c r="D961" s="205"/>
      <c r="E961" s="204"/>
      <c r="F961" s="204"/>
      <c r="G961" s="206"/>
    </row>
    <row r="962" spans="2:7" ht="15" customHeight="1" x14ac:dyDescent="0.2">
      <c r="B962" s="203"/>
      <c r="C962" s="204"/>
      <c r="D962" s="205"/>
      <c r="E962" s="204"/>
      <c r="F962" s="204"/>
      <c r="G962" s="206"/>
    </row>
    <row r="963" spans="2:7" ht="15" customHeight="1" x14ac:dyDescent="0.2">
      <c r="B963" s="203"/>
      <c r="C963" s="204"/>
      <c r="D963" s="205"/>
      <c r="E963" s="204"/>
      <c r="F963" s="204"/>
      <c r="G963" s="206"/>
    </row>
    <row r="964" spans="2:7" ht="15" customHeight="1" x14ac:dyDescent="0.2">
      <c r="B964" s="203"/>
      <c r="C964" s="204"/>
      <c r="D964" s="205"/>
      <c r="E964" s="204"/>
      <c r="F964" s="204"/>
      <c r="G964" s="206"/>
    </row>
    <row r="965" spans="2:7" ht="15" customHeight="1" x14ac:dyDescent="0.2">
      <c r="B965" s="203"/>
      <c r="C965" s="204"/>
      <c r="D965" s="205"/>
      <c r="E965" s="204"/>
      <c r="F965" s="204"/>
      <c r="G965" s="206"/>
    </row>
    <row r="966" spans="2:7" ht="15" customHeight="1" x14ac:dyDescent="0.2">
      <c r="B966" s="203"/>
      <c r="C966" s="204"/>
      <c r="D966" s="205"/>
      <c r="E966" s="204"/>
      <c r="F966" s="204"/>
      <c r="G966" s="206"/>
    </row>
    <row r="967" spans="2:7" ht="15" customHeight="1" x14ac:dyDescent="0.2">
      <c r="B967" s="203"/>
      <c r="C967" s="204"/>
      <c r="D967" s="205"/>
      <c r="E967" s="204"/>
      <c r="F967" s="204"/>
      <c r="G967" s="206"/>
    </row>
    <row r="968" spans="2:7" ht="15" customHeight="1" x14ac:dyDescent="0.2">
      <c r="B968" s="203"/>
      <c r="C968" s="204"/>
      <c r="D968" s="205"/>
      <c r="E968" s="204"/>
      <c r="F968" s="204"/>
      <c r="G968" s="206"/>
    </row>
    <row r="969" spans="2:7" ht="15" customHeight="1" x14ac:dyDescent="0.2">
      <c r="B969" s="203"/>
      <c r="C969" s="204"/>
      <c r="D969" s="205"/>
      <c r="E969" s="204"/>
      <c r="F969" s="204"/>
      <c r="G969" s="206"/>
    </row>
    <row r="970" spans="2:7" ht="15" customHeight="1" x14ac:dyDescent="0.2">
      <c r="B970" s="203"/>
      <c r="C970" s="204"/>
      <c r="D970" s="205"/>
      <c r="E970" s="204"/>
      <c r="F970" s="204"/>
      <c r="G970" s="206"/>
    </row>
    <row r="971" spans="2:7" ht="15" customHeight="1" x14ac:dyDescent="0.2">
      <c r="B971" s="203"/>
      <c r="C971" s="204"/>
      <c r="D971" s="205"/>
      <c r="E971" s="204"/>
      <c r="F971" s="204"/>
      <c r="G971" s="206"/>
    </row>
    <row r="972" spans="2:7" ht="15" customHeight="1" x14ac:dyDescent="0.2">
      <c r="B972" s="203"/>
      <c r="C972" s="204"/>
      <c r="D972" s="205"/>
      <c r="E972" s="204"/>
      <c r="F972" s="204"/>
      <c r="G972" s="206"/>
    </row>
    <row r="973" spans="2:7" ht="15" customHeight="1" x14ac:dyDescent="0.2">
      <c r="B973" s="203"/>
      <c r="C973" s="204"/>
      <c r="D973" s="205"/>
      <c r="E973" s="204"/>
      <c r="F973" s="204"/>
      <c r="G973" s="206"/>
    </row>
    <row r="974" spans="2:7" ht="15" customHeight="1" x14ac:dyDescent="0.2">
      <c r="B974" s="203"/>
      <c r="C974" s="204"/>
      <c r="D974" s="205"/>
      <c r="E974" s="204"/>
      <c r="F974" s="204"/>
      <c r="G974" s="206"/>
    </row>
    <row r="975" spans="2:7" ht="15" customHeight="1" x14ac:dyDescent="0.2">
      <c r="B975" s="203"/>
      <c r="C975" s="204"/>
      <c r="D975" s="205"/>
      <c r="E975" s="204"/>
      <c r="F975" s="204"/>
      <c r="G975" s="206"/>
    </row>
    <row r="976" spans="2:7" ht="15" customHeight="1" x14ac:dyDescent="0.2">
      <c r="B976" s="203"/>
      <c r="C976" s="204"/>
      <c r="D976" s="205"/>
      <c r="E976" s="204"/>
      <c r="F976" s="204"/>
      <c r="G976" s="206"/>
    </row>
    <row r="977" spans="2:7" ht="15" customHeight="1" x14ac:dyDescent="0.2">
      <c r="B977" s="203"/>
      <c r="C977" s="204"/>
      <c r="D977" s="205"/>
      <c r="E977" s="204"/>
      <c r="F977" s="204"/>
      <c r="G977" s="206"/>
    </row>
    <row r="978" spans="2:7" ht="15" customHeight="1" x14ac:dyDescent="0.2">
      <c r="B978" s="203"/>
      <c r="C978" s="204"/>
      <c r="D978" s="205"/>
      <c r="E978" s="204"/>
      <c r="F978" s="204"/>
      <c r="G978" s="206"/>
    </row>
    <row r="979" spans="2:7" ht="15" customHeight="1" x14ac:dyDescent="0.2">
      <c r="B979" s="203"/>
      <c r="C979" s="204"/>
      <c r="D979" s="205"/>
      <c r="E979" s="204"/>
      <c r="F979" s="204"/>
      <c r="G979" s="206"/>
    </row>
    <row r="980" spans="2:7" ht="15" customHeight="1" x14ac:dyDescent="0.2">
      <c r="B980" s="203"/>
      <c r="C980" s="204"/>
      <c r="D980" s="205"/>
      <c r="E980" s="204"/>
      <c r="F980" s="204"/>
      <c r="G980" s="206"/>
    </row>
    <row r="981" spans="2:7" ht="15" customHeight="1" x14ac:dyDescent="0.2">
      <c r="B981" s="203"/>
      <c r="C981" s="204"/>
      <c r="D981" s="205"/>
      <c r="E981" s="204"/>
      <c r="F981" s="204"/>
      <c r="G981" s="206"/>
    </row>
    <row r="982" spans="2:7" ht="15" customHeight="1" x14ac:dyDescent="0.2">
      <c r="B982" s="203"/>
      <c r="C982" s="204"/>
      <c r="D982" s="205"/>
      <c r="E982" s="204"/>
      <c r="F982" s="204"/>
      <c r="G982" s="206"/>
    </row>
  </sheetData>
  <mergeCells count="3">
    <mergeCell ref="A1:G1"/>
    <mergeCell ref="B2:G4"/>
    <mergeCell ref="A5:G6"/>
  </mergeCells>
  <phoneticPr fontId="27" type="noConversion"/>
  <dataValidations count="1">
    <dataValidation type="list" allowBlank="1" showErrorMessage="1" sqref="F8:G982" xr:uid="{D6BF3E6A-FDEC-464C-8450-C3E8597BF645}">
      <formula1>"Alto,Medio,Bajo"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D2D2-1674-46A4-BE4E-E3D7198E204D}">
  <sheetPr codeName="Hoja5">
    <pageSetUpPr fitToPage="1"/>
  </sheetPr>
  <dimension ref="A1:Z1000"/>
  <sheetViews>
    <sheetView showGridLines="0" workbookViewId="0">
      <selection activeCell="B8" sqref="B8:G15"/>
    </sheetView>
  </sheetViews>
  <sheetFormatPr baseColWidth="10" defaultColWidth="12.625" defaultRowHeight="15" customHeight="1" x14ac:dyDescent="0.2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 x14ac:dyDescent="0.2">
      <c r="A1" s="409"/>
      <c r="B1" s="410"/>
      <c r="C1" s="410"/>
      <c r="D1" s="410"/>
      <c r="E1" s="410"/>
      <c r="F1" s="410"/>
      <c r="G1" s="410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 x14ac:dyDescent="0.2">
      <c r="A2" s="115"/>
      <c r="B2" s="419" t="s">
        <v>76</v>
      </c>
      <c r="C2" s="420"/>
      <c r="D2" s="420"/>
      <c r="E2" s="420"/>
      <c r="F2" s="420"/>
      <c r="G2" s="421"/>
    </row>
    <row r="3" spans="1:26" ht="12.75" x14ac:dyDescent="0.2">
      <c r="A3" s="115"/>
      <c r="B3" s="422"/>
      <c r="C3" s="410"/>
      <c r="D3" s="410"/>
      <c r="E3" s="410"/>
      <c r="F3" s="410"/>
      <c r="G3" s="423"/>
    </row>
    <row r="4" spans="1:26" ht="12.75" x14ac:dyDescent="0.2">
      <c r="A4" s="115"/>
      <c r="B4" s="424"/>
      <c r="C4" s="425"/>
      <c r="D4" s="425"/>
      <c r="E4" s="425"/>
      <c r="F4" s="425"/>
      <c r="G4" s="426"/>
    </row>
    <row r="5" spans="1:26" ht="12.75" x14ac:dyDescent="0.2">
      <c r="A5" s="409"/>
      <c r="B5" s="410"/>
      <c r="C5" s="410"/>
      <c r="D5" s="410"/>
      <c r="E5" s="410"/>
      <c r="F5" s="410"/>
      <c r="G5" s="410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 x14ac:dyDescent="0.2">
      <c r="A6" s="410"/>
      <c r="B6" s="410"/>
      <c r="C6" s="410"/>
      <c r="D6" s="410"/>
      <c r="E6" s="410"/>
      <c r="F6" s="410"/>
      <c r="G6" s="410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 x14ac:dyDescent="0.2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 x14ac:dyDescent="0.2">
      <c r="A8" s="101"/>
      <c r="B8" s="114"/>
      <c r="C8" s="114"/>
      <c r="D8" s="107"/>
      <c r="E8" s="113"/>
      <c r="F8" s="107"/>
      <c r="G8" s="100"/>
    </row>
    <row r="9" spans="1:26" ht="15.75" x14ac:dyDescent="0.2">
      <c r="A9" s="101"/>
      <c r="B9" s="114"/>
      <c r="C9" s="114"/>
      <c r="D9" s="107"/>
      <c r="E9" s="113"/>
      <c r="F9" s="107"/>
      <c r="G9" s="100"/>
    </row>
    <row r="10" spans="1:26" ht="15.75" x14ac:dyDescent="0.2">
      <c r="A10" s="101"/>
      <c r="B10" s="114"/>
      <c r="C10" s="114"/>
      <c r="D10" s="107"/>
      <c r="E10" s="113"/>
      <c r="F10" s="107"/>
      <c r="G10" s="100"/>
    </row>
    <row r="11" spans="1:26" ht="15.75" x14ac:dyDescent="0.2">
      <c r="A11" s="101"/>
      <c r="B11" s="114"/>
      <c r="C11" s="114"/>
      <c r="D11" s="107"/>
      <c r="E11" s="113"/>
      <c r="F11" s="107"/>
      <c r="G11" s="100"/>
    </row>
    <row r="12" spans="1:26" ht="15.75" x14ac:dyDescent="0.2">
      <c r="A12" s="101"/>
      <c r="B12" s="114"/>
      <c r="C12" s="114"/>
      <c r="D12" s="107"/>
      <c r="E12" s="113"/>
      <c r="F12" s="107"/>
      <c r="G12" s="100"/>
    </row>
    <row r="13" spans="1:26" ht="15.75" x14ac:dyDescent="0.2">
      <c r="A13" s="101"/>
      <c r="B13" s="114"/>
      <c r="C13" s="114"/>
      <c r="D13" s="107"/>
      <c r="E13" s="113"/>
      <c r="F13" s="107"/>
      <c r="G13" s="100"/>
    </row>
    <row r="14" spans="1:26" ht="15.75" x14ac:dyDescent="0.2">
      <c r="A14" s="101"/>
      <c r="B14" s="114"/>
      <c r="C14" s="114"/>
      <c r="D14" s="107"/>
      <c r="E14" s="113"/>
      <c r="F14" s="112"/>
      <c r="G14" s="100"/>
    </row>
    <row r="15" spans="1:26" x14ac:dyDescent="0.2">
      <c r="A15" s="101"/>
      <c r="B15" s="100"/>
      <c r="C15" s="100"/>
      <c r="D15" s="99"/>
      <c r="E15" s="111"/>
      <c r="F15" s="110"/>
      <c r="G15" s="99"/>
    </row>
    <row r="16" spans="1:26" ht="15.75" x14ac:dyDescent="0.2">
      <c r="A16" s="101"/>
      <c r="B16" s="100"/>
      <c r="C16" s="100"/>
      <c r="D16" s="99"/>
      <c r="E16" s="104"/>
      <c r="F16" s="107"/>
      <c r="G16" s="100"/>
    </row>
    <row r="17" spans="1:7" ht="15.75" x14ac:dyDescent="0.2">
      <c r="A17" s="101"/>
      <c r="B17" s="100"/>
      <c r="C17" s="100"/>
      <c r="D17" s="99"/>
      <c r="E17" s="104"/>
      <c r="F17" s="107"/>
      <c r="G17" s="100"/>
    </row>
    <row r="18" spans="1:7" ht="15.75" x14ac:dyDescent="0.2">
      <c r="A18" s="101"/>
      <c r="B18" s="100"/>
      <c r="C18" s="100"/>
      <c r="D18" s="99"/>
      <c r="E18" s="104"/>
      <c r="F18" s="107"/>
      <c r="G18" s="100"/>
    </row>
    <row r="19" spans="1:7" ht="15.75" x14ac:dyDescent="0.2">
      <c r="A19" s="101"/>
      <c r="B19" s="100"/>
      <c r="C19" s="100"/>
      <c r="D19" s="99"/>
      <c r="E19" s="104"/>
      <c r="F19" s="107"/>
      <c r="G19" s="100"/>
    </row>
    <row r="20" spans="1:7" ht="15.75" x14ac:dyDescent="0.2">
      <c r="A20" s="101"/>
      <c r="B20" s="100"/>
      <c r="C20" s="100"/>
      <c r="D20" s="99"/>
      <c r="E20" s="104"/>
      <c r="F20" s="107"/>
      <c r="G20" s="100"/>
    </row>
    <row r="21" spans="1:7" ht="15.75" customHeight="1" x14ac:dyDescent="0.2">
      <c r="A21" s="109"/>
      <c r="B21" s="100"/>
      <c r="C21" s="100"/>
      <c r="D21" s="99"/>
      <c r="E21" s="104"/>
      <c r="F21" s="107"/>
      <c r="G21" s="100"/>
    </row>
    <row r="22" spans="1:7" ht="15.75" customHeight="1" x14ac:dyDescent="0.2">
      <c r="A22" s="109"/>
      <c r="B22" s="100"/>
      <c r="C22" s="100"/>
      <c r="D22" s="99"/>
      <c r="E22" s="104"/>
      <c r="F22" s="107"/>
      <c r="G22" s="100"/>
    </row>
    <row r="23" spans="1:7" ht="15.75" customHeight="1" x14ac:dyDescent="0.2">
      <c r="A23" s="109"/>
      <c r="B23" s="100"/>
      <c r="C23" s="100"/>
      <c r="D23" s="99"/>
      <c r="E23" s="104"/>
      <c r="F23" s="107"/>
      <c r="G23" s="100"/>
    </row>
    <row r="24" spans="1:7" ht="15.75" customHeight="1" x14ac:dyDescent="0.2">
      <c r="A24" s="108"/>
      <c r="B24" s="100"/>
      <c r="C24" s="100"/>
      <c r="D24" s="99"/>
      <c r="E24" s="104"/>
      <c r="F24" s="107"/>
      <c r="G24" s="100"/>
    </row>
    <row r="25" spans="1:7" ht="15.75" customHeight="1" x14ac:dyDescent="0.2">
      <c r="A25" s="108"/>
      <c r="B25" s="100"/>
      <c r="C25" s="100"/>
      <c r="D25" s="99"/>
      <c r="E25" s="104"/>
      <c r="F25" s="107"/>
      <c r="G25" s="100"/>
    </row>
    <row r="26" spans="1:7" ht="15.75" customHeight="1" x14ac:dyDescent="0.2">
      <c r="A26" s="108"/>
      <c r="B26" s="100"/>
      <c r="C26" s="100"/>
      <c r="D26" s="99"/>
      <c r="E26" s="104"/>
      <c r="F26" s="107"/>
      <c r="G26" s="100"/>
    </row>
    <row r="27" spans="1:7" ht="15.75" customHeight="1" x14ac:dyDescent="0.2">
      <c r="A27" s="108"/>
      <c r="B27" s="100"/>
      <c r="C27" s="100"/>
      <c r="D27" s="99"/>
      <c r="E27" s="104"/>
      <c r="F27" s="107"/>
      <c r="G27" s="100"/>
    </row>
    <row r="28" spans="1:7" ht="15.75" customHeight="1" x14ac:dyDescent="0.2">
      <c r="A28" s="108"/>
      <c r="B28" s="100"/>
      <c r="C28" s="100"/>
      <c r="D28" s="99"/>
      <c r="E28" s="104"/>
      <c r="F28" s="107"/>
      <c r="G28" s="100"/>
    </row>
    <row r="29" spans="1:7" ht="15.75" customHeight="1" x14ac:dyDescent="0.2">
      <c r="A29" s="108"/>
      <c r="B29" s="100"/>
      <c r="C29" s="100"/>
      <c r="D29" s="99"/>
      <c r="E29" s="104"/>
      <c r="F29" s="107"/>
      <c r="G29" s="100"/>
    </row>
    <row r="30" spans="1:7" ht="30" customHeight="1" x14ac:dyDescent="0.2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 x14ac:dyDescent="0.2">
      <c r="A31" s="106"/>
      <c r="B31" s="100"/>
      <c r="C31" s="100"/>
      <c r="D31" s="99"/>
      <c r="E31" s="104"/>
      <c r="F31" s="107"/>
      <c r="G31" s="100"/>
    </row>
    <row r="32" spans="1:7" ht="15.75" customHeight="1" x14ac:dyDescent="0.2">
      <c r="A32" s="106"/>
      <c r="B32" s="100"/>
      <c r="C32" s="100"/>
      <c r="D32" s="99"/>
      <c r="E32" s="104"/>
      <c r="F32" s="107"/>
      <c r="G32" s="100"/>
    </row>
    <row r="33" spans="1:7" ht="15.75" customHeight="1" x14ac:dyDescent="0.2">
      <c r="A33" s="106"/>
      <c r="B33" s="100"/>
      <c r="C33" s="100"/>
      <c r="D33" s="99"/>
      <c r="E33" s="104"/>
      <c r="F33" s="107"/>
      <c r="G33" s="100"/>
    </row>
    <row r="34" spans="1:7" ht="15.75" customHeight="1" x14ac:dyDescent="0.2">
      <c r="A34" s="106"/>
      <c r="B34" s="100"/>
      <c r="C34" s="100"/>
      <c r="D34" s="99"/>
      <c r="E34" s="104"/>
      <c r="F34" s="107"/>
      <c r="G34" s="100"/>
    </row>
    <row r="35" spans="1:7" ht="15.75" customHeight="1" x14ac:dyDescent="0.2">
      <c r="A35" s="106"/>
      <c r="B35" s="100"/>
      <c r="C35" s="100"/>
      <c r="D35" s="99"/>
      <c r="E35" s="104"/>
      <c r="F35" s="107"/>
      <c r="G35" s="100"/>
    </row>
    <row r="36" spans="1:7" ht="15.75" customHeight="1" x14ac:dyDescent="0.2">
      <c r="A36" s="106"/>
      <c r="B36" s="100"/>
      <c r="C36" s="100"/>
      <c r="D36" s="99"/>
      <c r="E36" s="104"/>
      <c r="F36" s="107"/>
      <c r="G36" s="100"/>
    </row>
    <row r="37" spans="1:7" ht="15.75" customHeight="1" x14ac:dyDescent="0.2">
      <c r="A37" s="106"/>
      <c r="B37" s="100"/>
      <c r="C37" s="100"/>
      <c r="D37" s="99"/>
      <c r="E37" s="104"/>
      <c r="F37" s="107"/>
      <c r="G37" s="100"/>
    </row>
    <row r="38" spans="1:7" ht="15.75" customHeight="1" x14ac:dyDescent="0.2">
      <c r="A38" s="106"/>
      <c r="B38" s="100"/>
      <c r="C38" s="100"/>
      <c r="D38" s="99"/>
      <c r="E38" s="104"/>
      <c r="F38" s="107"/>
      <c r="G38" s="100"/>
    </row>
    <row r="39" spans="1:7" ht="15.75" customHeight="1" x14ac:dyDescent="0.2">
      <c r="A39" s="106"/>
      <c r="B39" s="100"/>
      <c r="C39" s="100"/>
      <c r="D39" s="99"/>
      <c r="E39" s="104"/>
      <c r="F39" s="107"/>
      <c r="G39" s="100"/>
    </row>
    <row r="40" spans="1:7" ht="15.75" customHeight="1" x14ac:dyDescent="0.2">
      <c r="A40" s="106"/>
      <c r="B40" s="100"/>
      <c r="C40" s="100"/>
      <c r="D40" s="99"/>
      <c r="E40" s="104"/>
      <c r="F40" s="107"/>
      <c r="G40" s="100"/>
    </row>
    <row r="41" spans="1:7" ht="15.75" customHeight="1" x14ac:dyDescent="0.2">
      <c r="A41" s="106"/>
      <c r="B41" s="100"/>
      <c r="C41" s="100"/>
      <c r="D41" s="99"/>
      <c r="E41" s="104"/>
      <c r="F41" s="107"/>
      <c r="G41" s="100"/>
    </row>
    <row r="42" spans="1:7" ht="15.75" customHeight="1" x14ac:dyDescent="0.2">
      <c r="A42" s="106"/>
      <c r="B42" s="100"/>
      <c r="C42" s="100"/>
      <c r="D42" s="99"/>
      <c r="E42" s="104"/>
      <c r="F42" s="107"/>
      <c r="G42" s="100"/>
    </row>
    <row r="43" spans="1:7" ht="15.75" customHeight="1" x14ac:dyDescent="0.2">
      <c r="A43" s="106"/>
      <c r="B43" s="100"/>
      <c r="C43" s="105"/>
      <c r="D43" s="99"/>
      <c r="E43" s="104"/>
      <c r="F43" s="103"/>
      <c r="G43" s="102"/>
    </row>
    <row r="44" spans="1:7" ht="15.75" customHeight="1" x14ac:dyDescent="0.2">
      <c r="A44" s="101"/>
      <c r="B44" s="100"/>
      <c r="C44" s="96"/>
      <c r="D44" s="99"/>
      <c r="E44" s="98"/>
      <c r="F44" s="97"/>
      <c r="G44" s="96"/>
    </row>
    <row r="45" spans="1:7" ht="15.75" customHeight="1" x14ac:dyDescent="0.2">
      <c r="A45" s="93"/>
      <c r="B45" s="93"/>
      <c r="C45" s="93"/>
      <c r="D45" s="93"/>
      <c r="E45" s="95"/>
      <c r="F45" s="93"/>
      <c r="G45" s="92"/>
    </row>
    <row r="46" spans="1:7" ht="15.75" customHeight="1" x14ac:dyDescent="0.2">
      <c r="A46" s="93"/>
      <c r="B46" s="93"/>
      <c r="C46" s="93"/>
      <c r="D46" s="93"/>
      <c r="E46" s="95"/>
      <c r="F46" s="93"/>
      <c r="G46" s="92"/>
    </row>
    <row r="47" spans="1:7" ht="15.75" customHeight="1" x14ac:dyDescent="0.2">
      <c r="A47" s="93"/>
      <c r="B47" s="93"/>
      <c r="C47" s="93"/>
      <c r="D47" s="93"/>
      <c r="E47" s="95"/>
      <c r="F47" s="93"/>
      <c r="G47" s="92"/>
    </row>
    <row r="48" spans="1:7" ht="15.75" customHeight="1" x14ac:dyDescent="0.2">
      <c r="A48" s="93"/>
      <c r="B48" s="93"/>
      <c r="C48" s="93"/>
      <c r="D48" s="93"/>
      <c r="E48" s="94"/>
      <c r="F48" s="93"/>
      <c r="G48" s="92"/>
    </row>
    <row r="49" spans="1:7" ht="15.75" customHeight="1" x14ac:dyDescent="0.2">
      <c r="A49" s="93"/>
      <c r="B49" s="93"/>
      <c r="C49" s="93"/>
      <c r="D49" s="93"/>
      <c r="E49" s="94"/>
      <c r="F49" s="93"/>
      <c r="G49" s="92"/>
    </row>
    <row r="50" spans="1:7" ht="15.75" customHeight="1" x14ac:dyDescent="0.2">
      <c r="A50" s="93"/>
      <c r="B50" s="93"/>
      <c r="C50" s="93"/>
      <c r="D50" s="93"/>
      <c r="E50" s="94"/>
      <c r="F50" s="93"/>
      <c r="G50" s="92"/>
    </row>
    <row r="51" spans="1:7" ht="15.75" customHeight="1" x14ac:dyDescent="0.2">
      <c r="A51" s="93"/>
      <c r="B51" s="93"/>
      <c r="C51" s="93"/>
      <c r="D51" s="93"/>
      <c r="E51" s="94"/>
      <c r="F51" s="93"/>
      <c r="G51" s="92"/>
    </row>
    <row r="52" spans="1:7" ht="15.75" customHeight="1" x14ac:dyDescent="0.2">
      <c r="A52" s="93"/>
      <c r="B52" s="93"/>
      <c r="C52" s="93"/>
      <c r="D52" s="93"/>
      <c r="E52" s="94"/>
      <c r="F52" s="93"/>
      <c r="G52" s="92"/>
    </row>
    <row r="53" spans="1:7" ht="15.75" customHeight="1" x14ac:dyDescent="0.2">
      <c r="A53" s="93"/>
      <c r="B53" s="93"/>
      <c r="C53" s="93"/>
      <c r="D53" s="93"/>
      <c r="E53" s="94"/>
      <c r="F53" s="93"/>
      <c r="G53" s="92"/>
    </row>
    <row r="54" spans="1:7" ht="15.75" customHeight="1" x14ac:dyDescent="0.2">
      <c r="A54" s="93"/>
      <c r="B54" s="93"/>
      <c r="C54" s="93"/>
      <c r="D54" s="93"/>
      <c r="E54" s="94"/>
      <c r="F54" s="93"/>
      <c r="G54" s="92"/>
    </row>
    <row r="55" spans="1:7" ht="15.75" customHeight="1" x14ac:dyDescent="0.2">
      <c r="A55" s="93"/>
      <c r="B55" s="93"/>
      <c r="C55" s="93"/>
      <c r="D55" s="93"/>
      <c r="E55" s="94"/>
      <c r="F55" s="93"/>
      <c r="G55" s="92"/>
    </row>
    <row r="56" spans="1:7" ht="15.75" customHeight="1" x14ac:dyDescent="0.2">
      <c r="A56" s="93"/>
      <c r="B56" s="93"/>
      <c r="C56" s="93"/>
      <c r="D56" s="93"/>
      <c r="E56" s="94"/>
      <c r="F56" s="93"/>
      <c r="G56" s="92"/>
    </row>
    <row r="57" spans="1:7" ht="15.75" customHeight="1" x14ac:dyDescent="0.2">
      <c r="A57" s="93"/>
      <c r="B57" s="93"/>
      <c r="C57" s="93"/>
      <c r="D57" s="93"/>
      <c r="E57" s="94"/>
      <c r="F57" s="93"/>
      <c r="G57" s="92"/>
    </row>
    <row r="58" spans="1:7" ht="15.75" customHeight="1" x14ac:dyDescent="0.2">
      <c r="A58" s="93"/>
      <c r="B58" s="93"/>
      <c r="C58" s="93"/>
      <c r="D58" s="93"/>
      <c r="E58" s="94"/>
      <c r="F58" s="93"/>
      <c r="G58" s="92"/>
    </row>
    <row r="59" spans="1:7" ht="15.75" customHeight="1" x14ac:dyDescent="0.2">
      <c r="A59" s="93"/>
      <c r="B59" s="93"/>
      <c r="C59" s="93"/>
      <c r="D59" s="93"/>
      <c r="E59" s="94"/>
      <c r="F59" s="93"/>
      <c r="G59" s="92"/>
    </row>
    <row r="60" spans="1:7" ht="15.75" customHeight="1" x14ac:dyDescent="0.2">
      <c r="A60" s="93"/>
      <c r="B60" s="93"/>
      <c r="C60" s="93"/>
      <c r="D60" s="93"/>
      <c r="E60" s="94"/>
      <c r="F60" s="93"/>
      <c r="G60" s="92"/>
    </row>
    <row r="61" spans="1:7" ht="15.75" customHeight="1" x14ac:dyDescent="0.2">
      <c r="A61" s="93"/>
      <c r="B61" s="93"/>
      <c r="C61" s="93"/>
      <c r="D61" s="93"/>
      <c r="E61" s="94"/>
      <c r="F61" s="93"/>
      <c r="G61" s="92"/>
    </row>
    <row r="62" spans="1:7" ht="15.75" customHeight="1" x14ac:dyDescent="0.2">
      <c r="A62" s="93"/>
      <c r="B62" s="93"/>
      <c r="C62" s="93"/>
      <c r="D62" s="93"/>
      <c r="E62" s="94"/>
      <c r="F62" s="93"/>
      <c r="G62" s="92"/>
    </row>
    <row r="63" spans="1:7" ht="15.75" customHeight="1" x14ac:dyDescent="0.2">
      <c r="A63" s="93"/>
      <c r="B63" s="93"/>
      <c r="C63" s="93"/>
      <c r="D63" s="93"/>
      <c r="E63" s="94"/>
      <c r="F63" s="93"/>
      <c r="G63" s="92"/>
    </row>
    <row r="64" spans="1:7" ht="15.75" customHeight="1" x14ac:dyDescent="0.2">
      <c r="A64" s="93"/>
      <c r="B64" s="93"/>
      <c r="C64" s="93"/>
      <c r="D64" s="93"/>
      <c r="E64" s="94"/>
      <c r="F64" s="93"/>
      <c r="G64" s="92"/>
    </row>
    <row r="65" spans="1:7" ht="15.75" customHeight="1" x14ac:dyDescent="0.2">
      <c r="A65" s="93"/>
      <c r="B65" s="93"/>
      <c r="C65" s="93"/>
      <c r="D65" s="93"/>
      <c r="E65" s="94"/>
      <c r="F65" s="93"/>
      <c r="G65" s="92"/>
    </row>
    <row r="66" spans="1:7" ht="15.75" customHeight="1" x14ac:dyDescent="0.2">
      <c r="A66" s="93"/>
      <c r="B66" s="93"/>
      <c r="C66" s="93"/>
      <c r="D66" s="93"/>
      <c r="E66" s="94"/>
      <c r="F66" s="93"/>
      <c r="G66" s="92"/>
    </row>
    <row r="67" spans="1:7" ht="15.75" customHeight="1" x14ac:dyDescent="0.2">
      <c r="A67" s="90"/>
      <c r="B67" s="90"/>
      <c r="C67" s="90"/>
      <c r="D67" s="90"/>
      <c r="E67" s="91"/>
      <c r="F67" s="90"/>
      <c r="G67" s="89"/>
    </row>
    <row r="68" spans="1:7" ht="15.75" customHeight="1" x14ac:dyDescent="0.2">
      <c r="A68" s="90"/>
      <c r="B68" s="90"/>
      <c r="C68" s="90"/>
      <c r="D68" s="90"/>
      <c r="E68" s="91"/>
      <c r="F68" s="90"/>
      <c r="G68" s="89"/>
    </row>
    <row r="69" spans="1:7" ht="15.75" customHeight="1" x14ac:dyDescent="0.2">
      <c r="A69" s="90"/>
      <c r="B69" s="90"/>
      <c r="C69" s="90"/>
      <c r="D69" s="90"/>
      <c r="E69" s="91"/>
      <c r="F69" s="90"/>
      <c r="G69" s="89"/>
    </row>
    <row r="70" spans="1:7" ht="15.75" customHeight="1" x14ac:dyDescent="0.2">
      <c r="A70" s="90"/>
      <c r="B70" s="90"/>
      <c r="C70" s="90"/>
      <c r="D70" s="90"/>
      <c r="E70" s="91"/>
      <c r="F70" s="90"/>
      <c r="G70" s="89"/>
    </row>
    <row r="71" spans="1:7" ht="15.75" customHeight="1" x14ac:dyDescent="0.2">
      <c r="A71" s="90"/>
      <c r="B71" s="90"/>
      <c r="C71" s="90"/>
      <c r="D71" s="90"/>
      <c r="E71" s="91"/>
      <c r="F71" s="90"/>
      <c r="G71" s="89"/>
    </row>
    <row r="72" spans="1:7" ht="15.75" customHeight="1" x14ac:dyDescent="0.2">
      <c r="A72" s="90"/>
      <c r="B72" s="90"/>
      <c r="C72" s="90"/>
      <c r="D72" s="90"/>
      <c r="E72" s="91"/>
      <c r="F72" s="90"/>
      <c r="G72" s="89"/>
    </row>
    <row r="73" spans="1:7" ht="15.75" customHeight="1" x14ac:dyDescent="0.2">
      <c r="A73" s="90"/>
      <c r="B73" s="90"/>
      <c r="C73" s="90"/>
      <c r="D73" s="90"/>
      <c r="E73" s="91"/>
      <c r="F73" s="90"/>
      <c r="G73" s="89"/>
    </row>
    <row r="74" spans="1:7" ht="15.75" customHeight="1" x14ac:dyDescent="0.2">
      <c r="A74" s="90"/>
      <c r="B74" s="90"/>
      <c r="C74" s="90"/>
      <c r="D74" s="90"/>
      <c r="E74" s="91"/>
      <c r="F74" s="90"/>
      <c r="G74" s="89"/>
    </row>
    <row r="75" spans="1:7" ht="15.75" customHeight="1" x14ac:dyDescent="0.2">
      <c r="A75" s="90"/>
      <c r="B75" s="90"/>
      <c r="C75" s="90"/>
      <c r="D75" s="90"/>
      <c r="E75" s="91"/>
      <c r="F75" s="90"/>
      <c r="G75" s="89"/>
    </row>
    <row r="76" spans="1:7" ht="15.75" customHeight="1" x14ac:dyDescent="0.2">
      <c r="A76" s="90"/>
      <c r="B76" s="90"/>
      <c r="C76" s="90"/>
      <c r="D76" s="90"/>
      <c r="E76" s="91"/>
      <c r="F76" s="90"/>
      <c r="G76" s="89"/>
    </row>
    <row r="77" spans="1:7" ht="15.75" customHeight="1" x14ac:dyDescent="0.2">
      <c r="A77" s="90"/>
      <c r="B77" s="90"/>
      <c r="C77" s="90"/>
      <c r="D77" s="90"/>
      <c r="E77" s="91"/>
      <c r="F77" s="90"/>
      <c r="G77" s="89"/>
    </row>
    <row r="78" spans="1:7" ht="15.75" customHeight="1" x14ac:dyDescent="0.2">
      <c r="A78" s="90"/>
      <c r="B78" s="90"/>
      <c r="C78" s="90"/>
      <c r="D78" s="90"/>
      <c r="E78" s="91"/>
      <c r="F78" s="90"/>
      <c r="G78" s="89"/>
    </row>
    <row r="79" spans="1:7" ht="15.75" customHeight="1" x14ac:dyDescent="0.2">
      <c r="A79" s="90"/>
      <c r="B79" s="90"/>
      <c r="C79" s="90"/>
      <c r="D79" s="90"/>
      <c r="E79" s="91"/>
      <c r="F79" s="90"/>
      <c r="G79" s="89"/>
    </row>
    <row r="80" spans="1:7" ht="15.75" customHeight="1" x14ac:dyDescent="0.2">
      <c r="A80" s="90"/>
      <c r="B80" s="90"/>
      <c r="C80" s="90"/>
      <c r="D80" s="90"/>
      <c r="E80" s="91"/>
      <c r="F80" s="90"/>
      <c r="G80" s="89"/>
    </row>
    <row r="81" spans="1:7" ht="15.75" customHeight="1" x14ac:dyDescent="0.2">
      <c r="A81" s="90"/>
      <c r="B81" s="90"/>
      <c r="C81" s="90"/>
      <c r="D81" s="90"/>
      <c r="E81" s="91"/>
      <c r="F81" s="90"/>
      <c r="G81" s="89"/>
    </row>
    <row r="82" spans="1:7" ht="15.75" customHeight="1" x14ac:dyDescent="0.2">
      <c r="A82" s="90"/>
      <c r="B82" s="90"/>
      <c r="C82" s="90"/>
      <c r="D82" s="90"/>
      <c r="E82" s="91"/>
      <c r="F82" s="90"/>
      <c r="G82" s="89"/>
    </row>
    <row r="83" spans="1:7" ht="15.75" customHeight="1" x14ac:dyDescent="0.2">
      <c r="A83" s="90"/>
      <c r="B83" s="90"/>
      <c r="C83" s="90"/>
      <c r="D83" s="90"/>
      <c r="E83" s="91"/>
      <c r="F83" s="90"/>
      <c r="G83" s="89"/>
    </row>
    <row r="84" spans="1:7" ht="15.75" customHeight="1" x14ac:dyDescent="0.2">
      <c r="A84" s="90"/>
      <c r="B84" s="90"/>
      <c r="C84" s="90"/>
      <c r="D84" s="90"/>
      <c r="E84" s="91"/>
      <c r="F84" s="90"/>
      <c r="G84" s="89"/>
    </row>
    <row r="85" spans="1:7" ht="15.75" customHeight="1" x14ac:dyDescent="0.2">
      <c r="A85" s="90"/>
      <c r="B85" s="90"/>
      <c r="C85" s="90"/>
      <c r="D85" s="90"/>
      <c r="E85" s="91"/>
      <c r="F85" s="90"/>
      <c r="G85" s="89"/>
    </row>
    <row r="86" spans="1:7" ht="15.75" customHeight="1" x14ac:dyDescent="0.2">
      <c r="A86" s="90"/>
      <c r="B86" s="90"/>
      <c r="C86" s="90"/>
      <c r="D86" s="90"/>
      <c r="E86" s="91"/>
      <c r="F86" s="90"/>
      <c r="G86" s="89"/>
    </row>
    <row r="87" spans="1:7" ht="15.75" customHeight="1" x14ac:dyDescent="0.2">
      <c r="A87" s="90"/>
      <c r="B87" s="90"/>
      <c r="C87" s="90"/>
      <c r="D87" s="90"/>
      <c r="E87" s="91"/>
      <c r="F87" s="90"/>
      <c r="G87" s="89"/>
    </row>
    <row r="88" spans="1:7" ht="15.75" customHeight="1" x14ac:dyDescent="0.2">
      <c r="A88" s="90"/>
      <c r="B88" s="90"/>
      <c r="C88" s="90"/>
      <c r="D88" s="90"/>
      <c r="E88" s="91"/>
      <c r="F88" s="90"/>
      <c r="G88" s="89"/>
    </row>
    <row r="89" spans="1:7" ht="15.75" customHeight="1" x14ac:dyDescent="0.2">
      <c r="A89" s="90"/>
      <c r="B89" s="90"/>
      <c r="C89" s="90"/>
      <c r="D89" s="90"/>
      <c r="E89" s="91"/>
      <c r="F89" s="90"/>
      <c r="G89" s="89"/>
    </row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G1"/>
    <mergeCell ref="B2:G4"/>
    <mergeCell ref="A5:G6"/>
  </mergeCells>
  <dataValidations count="1">
    <dataValidation type="list" allowBlank="1" showErrorMessage="1" sqref="F8:G66" xr:uid="{DBA46F22-8F2E-4784-BAE4-FE135B51237D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0FBD-1081-40E8-9A50-6D0D72D43BE4}">
  <sheetPr codeName="Hoja6">
    <pageSetUpPr fitToPage="1"/>
  </sheetPr>
  <dimension ref="A1:Z1000"/>
  <sheetViews>
    <sheetView showGridLines="0" workbookViewId="0">
      <selection activeCell="B8" sqref="B8:G15"/>
    </sheetView>
  </sheetViews>
  <sheetFormatPr baseColWidth="10" defaultColWidth="12.625" defaultRowHeight="15" customHeight="1" x14ac:dyDescent="0.2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 x14ac:dyDescent="0.2">
      <c r="A1" s="409"/>
      <c r="B1" s="410"/>
      <c r="C1" s="410"/>
      <c r="D1" s="410"/>
      <c r="E1" s="410"/>
      <c r="F1" s="410"/>
      <c r="G1" s="410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 x14ac:dyDescent="0.2">
      <c r="A2" s="115"/>
      <c r="B2" s="419" t="s">
        <v>76</v>
      </c>
      <c r="C2" s="420"/>
      <c r="D2" s="420"/>
      <c r="E2" s="420"/>
      <c r="F2" s="420"/>
      <c r="G2" s="421"/>
    </row>
    <row r="3" spans="1:26" ht="12.75" x14ac:dyDescent="0.2">
      <c r="A3" s="115"/>
      <c r="B3" s="422"/>
      <c r="C3" s="410"/>
      <c r="D3" s="410"/>
      <c r="E3" s="410"/>
      <c r="F3" s="410"/>
      <c r="G3" s="423"/>
    </row>
    <row r="4" spans="1:26" ht="12.75" x14ac:dyDescent="0.2">
      <c r="A4" s="115"/>
      <c r="B4" s="424"/>
      <c r="C4" s="425"/>
      <c r="D4" s="425"/>
      <c r="E4" s="425"/>
      <c r="F4" s="425"/>
      <c r="G4" s="426"/>
    </row>
    <row r="5" spans="1:26" ht="12.75" x14ac:dyDescent="0.2">
      <c r="A5" s="409"/>
      <c r="B5" s="410"/>
      <c r="C5" s="410"/>
      <c r="D5" s="410"/>
      <c r="E5" s="410"/>
      <c r="F5" s="410"/>
      <c r="G5" s="410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 x14ac:dyDescent="0.2">
      <c r="A6" s="410"/>
      <c r="B6" s="410"/>
      <c r="C6" s="410"/>
      <c r="D6" s="410"/>
      <c r="E6" s="410"/>
      <c r="F6" s="410"/>
      <c r="G6" s="410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 x14ac:dyDescent="0.2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 x14ac:dyDescent="0.2">
      <c r="A8" s="101"/>
      <c r="B8" s="114"/>
      <c r="C8" s="114"/>
      <c r="D8" s="107"/>
      <c r="E8" s="113"/>
      <c r="F8" s="107"/>
      <c r="G8" s="100"/>
    </row>
    <row r="9" spans="1:26" ht="15.75" x14ac:dyDescent="0.2">
      <c r="A9" s="101"/>
      <c r="B9" s="114"/>
      <c r="C9" s="114"/>
      <c r="D9" s="107"/>
      <c r="E9" s="113"/>
      <c r="F9" s="107"/>
      <c r="G9" s="100"/>
    </row>
    <row r="10" spans="1:26" ht="15.75" x14ac:dyDescent="0.2">
      <c r="A10" s="101"/>
      <c r="B10" s="114"/>
      <c r="C10" s="114"/>
      <c r="D10" s="107"/>
      <c r="E10" s="113"/>
      <c r="F10" s="107"/>
      <c r="G10" s="100"/>
    </row>
    <row r="11" spans="1:26" ht="15.75" x14ac:dyDescent="0.2">
      <c r="A11" s="101"/>
      <c r="B11" s="114"/>
      <c r="C11" s="114"/>
      <c r="D11" s="107"/>
      <c r="E11" s="113"/>
      <c r="F11" s="107"/>
      <c r="G11" s="100"/>
    </row>
    <row r="12" spans="1:26" ht="15.75" x14ac:dyDescent="0.2">
      <c r="A12" s="101"/>
      <c r="B12" s="114"/>
      <c r="C12" s="114"/>
      <c r="D12" s="107"/>
      <c r="E12" s="113"/>
      <c r="F12" s="107"/>
      <c r="G12" s="100"/>
    </row>
    <row r="13" spans="1:26" ht="15.75" x14ac:dyDescent="0.2">
      <c r="A13" s="101"/>
      <c r="B13" s="114"/>
      <c r="C13" s="114"/>
      <c r="D13" s="107"/>
      <c r="E13" s="113"/>
      <c r="F13" s="107"/>
      <c r="G13" s="100"/>
    </row>
    <row r="14" spans="1:26" ht="15.75" x14ac:dyDescent="0.2">
      <c r="A14" s="101"/>
      <c r="B14" s="114"/>
      <c r="C14" s="114"/>
      <c r="D14" s="107"/>
      <c r="E14" s="113"/>
      <c r="F14" s="112"/>
      <c r="G14" s="100"/>
    </row>
    <row r="15" spans="1:26" x14ac:dyDescent="0.2">
      <c r="A15" s="101"/>
      <c r="B15" s="100"/>
      <c r="C15" s="100"/>
      <c r="D15" s="99"/>
      <c r="E15" s="111"/>
      <c r="F15" s="110"/>
      <c r="G15" s="99"/>
    </row>
    <row r="16" spans="1:26" ht="15.75" x14ac:dyDescent="0.2">
      <c r="A16" s="101"/>
      <c r="B16" s="100"/>
      <c r="C16" s="100"/>
      <c r="D16" s="99"/>
      <c r="E16" s="104"/>
      <c r="F16" s="107"/>
      <c r="G16" s="100"/>
    </row>
    <row r="17" spans="1:7" ht="15.75" x14ac:dyDescent="0.2">
      <c r="A17" s="101"/>
      <c r="B17" s="100"/>
      <c r="C17" s="100"/>
      <c r="D17" s="99"/>
      <c r="E17" s="104"/>
      <c r="F17" s="107"/>
      <c r="G17" s="100"/>
    </row>
    <row r="18" spans="1:7" ht="15.75" x14ac:dyDescent="0.2">
      <c r="A18" s="101"/>
      <c r="B18" s="100"/>
      <c r="C18" s="100"/>
      <c r="D18" s="99"/>
      <c r="E18" s="104"/>
      <c r="F18" s="107"/>
      <c r="G18" s="100"/>
    </row>
    <row r="19" spans="1:7" ht="15.75" x14ac:dyDescent="0.2">
      <c r="A19" s="101"/>
      <c r="B19" s="100"/>
      <c r="C19" s="100"/>
      <c r="D19" s="99"/>
      <c r="E19" s="104"/>
      <c r="F19" s="107"/>
      <c r="G19" s="100"/>
    </row>
    <row r="20" spans="1:7" ht="15.75" x14ac:dyDescent="0.2">
      <c r="A20" s="101"/>
      <c r="B20" s="100"/>
      <c r="C20" s="100"/>
      <c r="D20" s="99"/>
      <c r="E20" s="104"/>
      <c r="F20" s="107"/>
      <c r="G20" s="100"/>
    </row>
    <row r="21" spans="1:7" ht="15.75" customHeight="1" x14ac:dyDescent="0.2">
      <c r="A21" s="109"/>
      <c r="B21" s="100"/>
      <c r="C21" s="100"/>
      <c r="D21" s="99"/>
      <c r="E21" s="104"/>
      <c r="F21" s="107"/>
      <c r="G21" s="100"/>
    </row>
    <row r="22" spans="1:7" ht="15.75" customHeight="1" x14ac:dyDescent="0.2">
      <c r="A22" s="109"/>
      <c r="B22" s="100"/>
      <c r="C22" s="100"/>
      <c r="D22" s="99"/>
      <c r="E22" s="104"/>
      <c r="F22" s="107"/>
      <c r="G22" s="100"/>
    </row>
    <row r="23" spans="1:7" ht="15.75" customHeight="1" x14ac:dyDescent="0.2">
      <c r="A23" s="109"/>
      <c r="B23" s="100"/>
      <c r="C23" s="100"/>
      <c r="D23" s="99"/>
      <c r="E23" s="104"/>
      <c r="F23" s="107"/>
      <c r="G23" s="100"/>
    </row>
    <row r="24" spans="1:7" ht="15.75" customHeight="1" x14ac:dyDescent="0.2">
      <c r="A24" s="108"/>
      <c r="B24" s="100"/>
      <c r="C24" s="100"/>
      <c r="D24" s="99"/>
      <c r="E24" s="104"/>
      <c r="F24" s="107"/>
      <c r="G24" s="100"/>
    </row>
    <row r="25" spans="1:7" ht="15.75" customHeight="1" x14ac:dyDescent="0.2">
      <c r="A25" s="108"/>
      <c r="B25" s="100"/>
      <c r="C25" s="100"/>
      <c r="D25" s="99"/>
      <c r="E25" s="104"/>
      <c r="F25" s="107"/>
      <c r="G25" s="100"/>
    </row>
    <row r="26" spans="1:7" ht="15.75" customHeight="1" x14ac:dyDescent="0.2">
      <c r="A26" s="108"/>
      <c r="B26" s="100"/>
      <c r="C26" s="100"/>
      <c r="D26" s="99"/>
      <c r="E26" s="104"/>
      <c r="F26" s="107"/>
      <c r="G26" s="100"/>
    </row>
    <row r="27" spans="1:7" ht="15.75" customHeight="1" x14ac:dyDescent="0.2">
      <c r="A27" s="108"/>
      <c r="B27" s="100"/>
      <c r="C27" s="100"/>
      <c r="D27" s="99"/>
      <c r="E27" s="104"/>
      <c r="F27" s="107"/>
      <c r="G27" s="100"/>
    </row>
    <row r="28" spans="1:7" ht="15.75" customHeight="1" x14ac:dyDescent="0.2">
      <c r="A28" s="108"/>
      <c r="B28" s="100"/>
      <c r="C28" s="100"/>
      <c r="D28" s="99"/>
      <c r="E28" s="104"/>
      <c r="F28" s="107"/>
      <c r="G28" s="100"/>
    </row>
    <row r="29" spans="1:7" ht="15.75" customHeight="1" x14ac:dyDescent="0.2">
      <c r="A29" s="108"/>
      <c r="B29" s="100"/>
      <c r="C29" s="100"/>
      <c r="D29" s="99"/>
      <c r="E29" s="104"/>
      <c r="F29" s="107"/>
      <c r="G29" s="100"/>
    </row>
    <row r="30" spans="1:7" ht="30" customHeight="1" x14ac:dyDescent="0.2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 x14ac:dyDescent="0.2">
      <c r="A31" s="106"/>
      <c r="B31" s="100"/>
      <c r="C31" s="100"/>
      <c r="D31" s="99"/>
      <c r="E31" s="104"/>
      <c r="F31" s="107"/>
      <c r="G31" s="100"/>
    </row>
    <row r="32" spans="1:7" ht="15.75" customHeight="1" x14ac:dyDescent="0.2">
      <c r="A32" s="106"/>
      <c r="B32" s="100"/>
      <c r="C32" s="100"/>
      <c r="D32" s="99"/>
      <c r="E32" s="104"/>
      <c r="F32" s="107"/>
      <c r="G32" s="100"/>
    </row>
    <row r="33" spans="1:7" ht="15.75" customHeight="1" x14ac:dyDescent="0.2">
      <c r="A33" s="106"/>
      <c r="B33" s="100"/>
      <c r="C33" s="100"/>
      <c r="D33" s="99"/>
      <c r="E33" s="104"/>
      <c r="F33" s="107"/>
      <c r="G33" s="100"/>
    </row>
    <row r="34" spans="1:7" ht="15.75" customHeight="1" x14ac:dyDescent="0.2">
      <c r="A34" s="106"/>
      <c r="B34" s="100"/>
      <c r="C34" s="100"/>
      <c r="D34" s="99"/>
      <c r="E34" s="104"/>
      <c r="F34" s="107"/>
      <c r="G34" s="100"/>
    </row>
    <row r="35" spans="1:7" ht="15.75" customHeight="1" x14ac:dyDescent="0.2">
      <c r="A35" s="106"/>
      <c r="B35" s="100"/>
      <c r="C35" s="100"/>
      <c r="D35" s="99"/>
      <c r="E35" s="104"/>
      <c r="F35" s="107"/>
      <c r="G35" s="100"/>
    </row>
    <row r="36" spans="1:7" ht="15.75" customHeight="1" x14ac:dyDescent="0.2">
      <c r="A36" s="106"/>
      <c r="B36" s="100"/>
      <c r="C36" s="100"/>
      <c r="D36" s="99"/>
      <c r="E36" s="104"/>
      <c r="F36" s="107"/>
      <c r="G36" s="100"/>
    </row>
    <row r="37" spans="1:7" ht="15.75" customHeight="1" x14ac:dyDescent="0.2">
      <c r="A37" s="106"/>
      <c r="B37" s="100"/>
      <c r="C37" s="100"/>
      <c r="D37" s="99"/>
      <c r="E37" s="104"/>
      <c r="F37" s="107"/>
      <c r="G37" s="100"/>
    </row>
    <row r="38" spans="1:7" ht="15.75" customHeight="1" x14ac:dyDescent="0.2">
      <c r="A38" s="106"/>
      <c r="B38" s="100"/>
      <c r="C38" s="100"/>
      <c r="D38" s="99"/>
      <c r="E38" s="104"/>
      <c r="F38" s="107"/>
      <c r="G38" s="100"/>
    </row>
    <row r="39" spans="1:7" ht="15.75" customHeight="1" x14ac:dyDescent="0.2">
      <c r="A39" s="106"/>
      <c r="B39" s="100"/>
      <c r="C39" s="100"/>
      <c r="D39" s="99"/>
      <c r="E39" s="104"/>
      <c r="F39" s="107"/>
      <c r="G39" s="100"/>
    </row>
    <row r="40" spans="1:7" ht="15.75" customHeight="1" x14ac:dyDescent="0.2">
      <c r="A40" s="106"/>
      <c r="B40" s="100"/>
      <c r="C40" s="100"/>
      <c r="D40" s="99"/>
      <c r="E40" s="104"/>
      <c r="F40" s="107"/>
      <c r="G40" s="100"/>
    </row>
    <row r="41" spans="1:7" ht="15.75" customHeight="1" x14ac:dyDescent="0.2">
      <c r="A41" s="106"/>
      <c r="B41" s="100"/>
      <c r="C41" s="100"/>
      <c r="D41" s="99"/>
      <c r="E41" s="104"/>
      <c r="F41" s="107"/>
      <c r="G41" s="100"/>
    </row>
    <row r="42" spans="1:7" ht="15.75" customHeight="1" x14ac:dyDescent="0.2">
      <c r="A42" s="106"/>
      <c r="B42" s="100"/>
      <c r="C42" s="100"/>
      <c r="D42" s="99"/>
      <c r="E42" s="104"/>
      <c r="F42" s="107"/>
      <c r="G42" s="100"/>
    </row>
    <row r="43" spans="1:7" ht="15.75" customHeight="1" x14ac:dyDescent="0.2">
      <c r="A43" s="106"/>
      <c r="B43" s="100"/>
      <c r="C43" s="105"/>
      <c r="D43" s="99"/>
      <c r="E43" s="104"/>
      <c r="F43" s="103"/>
      <c r="G43" s="102"/>
    </row>
    <row r="44" spans="1:7" ht="15.75" customHeight="1" x14ac:dyDescent="0.2">
      <c r="A44" s="101"/>
      <c r="B44" s="100"/>
      <c r="C44" s="96"/>
      <c r="D44" s="99"/>
      <c r="E44" s="98"/>
      <c r="F44" s="97"/>
      <c r="G44" s="96"/>
    </row>
    <row r="45" spans="1:7" ht="15.75" customHeight="1" x14ac:dyDescent="0.2">
      <c r="A45" s="93"/>
      <c r="B45" s="93"/>
      <c r="C45" s="93"/>
      <c r="D45" s="93"/>
      <c r="E45" s="95"/>
      <c r="F45" s="93"/>
      <c r="G45" s="92"/>
    </row>
    <row r="46" spans="1:7" ht="15.75" customHeight="1" x14ac:dyDescent="0.2">
      <c r="A46" s="93"/>
      <c r="B46" s="93"/>
      <c r="C46" s="93"/>
      <c r="D46" s="93"/>
      <c r="E46" s="95"/>
      <c r="F46" s="93"/>
      <c r="G46" s="92"/>
    </row>
    <row r="47" spans="1:7" ht="15.75" customHeight="1" x14ac:dyDescent="0.2">
      <c r="A47" s="93"/>
      <c r="B47" s="93"/>
      <c r="C47" s="93"/>
      <c r="D47" s="93"/>
      <c r="E47" s="95"/>
      <c r="F47" s="93"/>
      <c r="G47" s="92"/>
    </row>
    <row r="48" spans="1:7" ht="15.75" customHeight="1" x14ac:dyDescent="0.2">
      <c r="A48" s="93"/>
      <c r="B48" s="93"/>
      <c r="C48" s="93"/>
      <c r="D48" s="93"/>
      <c r="E48" s="94"/>
      <c r="F48" s="93"/>
      <c r="G48" s="92"/>
    </row>
    <row r="49" spans="1:7" ht="15.75" customHeight="1" x14ac:dyDescent="0.2">
      <c r="A49" s="93"/>
      <c r="B49" s="93"/>
      <c r="C49" s="93"/>
      <c r="D49" s="93"/>
      <c r="E49" s="94"/>
      <c r="F49" s="93"/>
      <c r="G49" s="92"/>
    </row>
    <row r="50" spans="1:7" ht="15.75" customHeight="1" x14ac:dyDescent="0.2">
      <c r="A50" s="93"/>
      <c r="B50" s="93"/>
      <c r="C50" s="93"/>
      <c r="D50" s="93"/>
      <c r="E50" s="94"/>
      <c r="F50" s="93"/>
      <c r="G50" s="92"/>
    </row>
    <row r="51" spans="1:7" ht="15.75" customHeight="1" x14ac:dyDescent="0.2">
      <c r="A51" s="93"/>
      <c r="B51" s="93"/>
      <c r="C51" s="93"/>
      <c r="D51" s="93"/>
      <c r="E51" s="94"/>
      <c r="F51" s="93"/>
      <c r="G51" s="92"/>
    </row>
    <row r="52" spans="1:7" ht="15.75" customHeight="1" x14ac:dyDescent="0.2">
      <c r="A52" s="93"/>
      <c r="B52" s="93"/>
      <c r="C52" s="93"/>
      <c r="D52" s="93"/>
      <c r="E52" s="94"/>
      <c r="F52" s="93"/>
      <c r="G52" s="92"/>
    </row>
    <row r="53" spans="1:7" ht="15.75" customHeight="1" x14ac:dyDescent="0.2">
      <c r="A53" s="93"/>
      <c r="B53" s="93"/>
      <c r="C53" s="93"/>
      <c r="D53" s="93"/>
      <c r="E53" s="94"/>
      <c r="F53" s="93"/>
      <c r="G53" s="92"/>
    </row>
    <row r="54" spans="1:7" ht="15.75" customHeight="1" x14ac:dyDescent="0.2">
      <c r="A54" s="93"/>
      <c r="B54" s="93"/>
      <c r="C54" s="93"/>
      <c r="D54" s="93"/>
      <c r="E54" s="94"/>
      <c r="F54" s="93"/>
      <c r="G54" s="92"/>
    </row>
    <row r="55" spans="1:7" ht="15.75" customHeight="1" x14ac:dyDescent="0.2">
      <c r="A55" s="93"/>
      <c r="B55" s="93"/>
      <c r="C55" s="93"/>
      <c r="D55" s="93"/>
      <c r="E55" s="94"/>
      <c r="F55" s="93"/>
      <c r="G55" s="92"/>
    </row>
    <row r="56" spans="1:7" ht="15.75" customHeight="1" x14ac:dyDescent="0.2">
      <c r="A56" s="93"/>
      <c r="B56" s="93"/>
      <c r="C56" s="93"/>
      <c r="D56" s="93"/>
      <c r="E56" s="94"/>
      <c r="F56" s="93"/>
      <c r="G56" s="92"/>
    </row>
    <row r="57" spans="1:7" ht="15.75" customHeight="1" x14ac:dyDescent="0.2">
      <c r="A57" s="93"/>
      <c r="B57" s="93"/>
      <c r="C57" s="93"/>
      <c r="D57" s="93"/>
      <c r="E57" s="94"/>
      <c r="F57" s="93"/>
      <c r="G57" s="92"/>
    </row>
    <row r="58" spans="1:7" ht="15.75" customHeight="1" x14ac:dyDescent="0.2">
      <c r="A58" s="93"/>
      <c r="B58" s="93"/>
      <c r="C58" s="93"/>
      <c r="D58" s="93"/>
      <c r="E58" s="94"/>
      <c r="F58" s="93"/>
      <c r="G58" s="92"/>
    </row>
    <row r="59" spans="1:7" ht="15.75" customHeight="1" x14ac:dyDescent="0.2">
      <c r="A59" s="93"/>
      <c r="B59" s="93"/>
      <c r="C59" s="93"/>
      <c r="D59" s="93"/>
      <c r="E59" s="94"/>
      <c r="F59" s="93"/>
      <c r="G59" s="92"/>
    </row>
    <row r="60" spans="1:7" ht="15.75" customHeight="1" x14ac:dyDescent="0.2">
      <c r="A60" s="93"/>
      <c r="B60" s="93"/>
      <c r="C60" s="93"/>
      <c r="D60" s="93"/>
      <c r="E60" s="94"/>
      <c r="F60" s="93"/>
      <c r="G60" s="92"/>
    </row>
    <row r="61" spans="1:7" ht="15.75" customHeight="1" x14ac:dyDescent="0.2">
      <c r="A61" s="93"/>
      <c r="B61" s="93"/>
      <c r="C61" s="93"/>
      <c r="D61" s="93"/>
      <c r="E61" s="94"/>
      <c r="F61" s="93"/>
      <c r="G61" s="92"/>
    </row>
    <row r="62" spans="1:7" ht="15.75" customHeight="1" x14ac:dyDescent="0.2">
      <c r="A62" s="93"/>
      <c r="B62" s="93"/>
      <c r="C62" s="93"/>
      <c r="D62" s="93"/>
      <c r="E62" s="94"/>
      <c r="F62" s="93"/>
      <c r="G62" s="92"/>
    </row>
    <row r="63" spans="1:7" ht="15.75" customHeight="1" x14ac:dyDescent="0.2">
      <c r="A63" s="93"/>
      <c r="B63" s="93"/>
      <c r="C63" s="93"/>
      <c r="D63" s="93"/>
      <c r="E63" s="94"/>
      <c r="F63" s="93"/>
      <c r="G63" s="92"/>
    </row>
    <row r="64" spans="1:7" ht="15.75" customHeight="1" x14ac:dyDescent="0.2">
      <c r="A64" s="93"/>
      <c r="B64" s="93"/>
      <c r="C64" s="93"/>
      <c r="D64" s="93"/>
      <c r="E64" s="94"/>
      <c r="F64" s="93"/>
      <c r="G64" s="92"/>
    </row>
    <row r="65" spans="1:7" ht="15.75" customHeight="1" x14ac:dyDescent="0.2">
      <c r="A65" s="93"/>
      <c r="B65" s="93"/>
      <c r="C65" s="93"/>
      <c r="D65" s="93"/>
      <c r="E65" s="94"/>
      <c r="F65" s="93"/>
      <c r="G65" s="92"/>
    </row>
    <row r="66" spans="1:7" ht="15.75" customHeight="1" x14ac:dyDescent="0.2">
      <c r="A66" s="93"/>
      <c r="B66" s="93"/>
      <c r="C66" s="93"/>
      <c r="D66" s="93"/>
      <c r="E66" s="94"/>
      <c r="F66" s="93"/>
      <c r="G66" s="92"/>
    </row>
    <row r="67" spans="1:7" ht="15.75" customHeight="1" x14ac:dyDescent="0.2">
      <c r="A67" s="90"/>
      <c r="B67" s="90"/>
      <c r="C67" s="90"/>
      <c r="D67" s="90"/>
      <c r="E67" s="91"/>
      <c r="F67" s="90"/>
      <c r="G67" s="89"/>
    </row>
    <row r="68" spans="1:7" ht="15.75" customHeight="1" x14ac:dyDescent="0.2">
      <c r="A68" s="90"/>
      <c r="B68" s="90"/>
      <c r="C68" s="90"/>
      <c r="D68" s="90"/>
      <c r="E68" s="91"/>
      <c r="F68" s="90"/>
      <c r="G68" s="89"/>
    </row>
    <row r="69" spans="1:7" ht="15.75" customHeight="1" x14ac:dyDescent="0.2">
      <c r="A69" s="90"/>
      <c r="B69" s="90"/>
      <c r="C69" s="90"/>
      <c r="D69" s="90"/>
      <c r="E69" s="91"/>
      <c r="F69" s="90"/>
      <c r="G69" s="89"/>
    </row>
    <row r="70" spans="1:7" ht="15.75" customHeight="1" x14ac:dyDescent="0.2">
      <c r="A70" s="90"/>
      <c r="B70" s="90"/>
      <c r="C70" s="90"/>
      <c r="D70" s="90"/>
      <c r="E70" s="91"/>
      <c r="F70" s="90"/>
      <c r="G70" s="89"/>
    </row>
    <row r="71" spans="1:7" ht="15.75" customHeight="1" x14ac:dyDescent="0.2">
      <c r="A71" s="90"/>
      <c r="B71" s="90"/>
      <c r="C71" s="90"/>
      <c r="D71" s="90"/>
      <c r="E71" s="91"/>
      <c r="F71" s="90"/>
      <c r="G71" s="89"/>
    </row>
    <row r="72" spans="1:7" ht="15.75" customHeight="1" x14ac:dyDescent="0.2">
      <c r="A72" s="90"/>
      <c r="B72" s="90"/>
      <c r="C72" s="90"/>
      <c r="D72" s="90"/>
      <c r="E72" s="91"/>
      <c r="F72" s="90"/>
      <c r="G72" s="89"/>
    </row>
    <row r="73" spans="1:7" ht="15.75" customHeight="1" x14ac:dyDescent="0.2">
      <c r="A73" s="90"/>
      <c r="B73" s="90"/>
      <c r="C73" s="90"/>
      <c r="D73" s="90"/>
      <c r="E73" s="91"/>
      <c r="F73" s="90"/>
      <c r="G73" s="89"/>
    </row>
    <row r="74" spans="1:7" ht="15.75" customHeight="1" x14ac:dyDescent="0.2">
      <c r="A74" s="90"/>
      <c r="B74" s="90"/>
      <c r="C74" s="90"/>
      <c r="D74" s="90"/>
      <c r="E74" s="91"/>
      <c r="F74" s="90"/>
      <c r="G74" s="89"/>
    </row>
    <row r="75" spans="1:7" ht="15.75" customHeight="1" x14ac:dyDescent="0.2">
      <c r="A75" s="90"/>
      <c r="B75" s="90"/>
      <c r="C75" s="90"/>
      <c r="D75" s="90"/>
      <c r="E75" s="91"/>
      <c r="F75" s="90"/>
      <c r="G75" s="89"/>
    </row>
    <row r="76" spans="1:7" ht="15.75" customHeight="1" x14ac:dyDescent="0.2">
      <c r="A76" s="90"/>
      <c r="B76" s="90"/>
      <c r="C76" s="90"/>
      <c r="D76" s="90"/>
      <c r="E76" s="91"/>
      <c r="F76" s="90"/>
      <c r="G76" s="89"/>
    </row>
    <row r="77" spans="1:7" ht="15.75" customHeight="1" x14ac:dyDescent="0.2">
      <c r="A77" s="90"/>
      <c r="B77" s="90"/>
      <c r="C77" s="90"/>
      <c r="D77" s="90"/>
      <c r="E77" s="91"/>
      <c r="F77" s="90"/>
      <c r="G77" s="89"/>
    </row>
    <row r="78" spans="1:7" ht="15.75" customHeight="1" x14ac:dyDescent="0.2">
      <c r="A78" s="90"/>
      <c r="B78" s="90"/>
      <c r="C78" s="90"/>
      <c r="D78" s="90"/>
      <c r="E78" s="91"/>
      <c r="F78" s="90"/>
      <c r="G78" s="89"/>
    </row>
    <row r="79" spans="1:7" ht="15.75" customHeight="1" x14ac:dyDescent="0.2">
      <c r="A79" s="90"/>
      <c r="B79" s="90"/>
      <c r="C79" s="90"/>
      <c r="D79" s="90"/>
      <c r="E79" s="91"/>
      <c r="F79" s="90"/>
      <c r="G79" s="89"/>
    </row>
    <row r="80" spans="1:7" ht="15.75" customHeight="1" x14ac:dyDescent="0.2">
      <c r="A80" s="90"/>
      <c r="B80" s="90"/>
      <c r="C80" s="90"/>
      <c r="D80" s="90"/>
      <c r="E80" s="91"/>
      <c r="F80" s="90"/>
      <c r="G80" s="89"/>
    </row>
    <row r="81" spans="1:7" ht="15.75" customHeight="1" x14ac:dyDescent="0.2">
      <c r="A81" s="90"/>
      <c r="B81" s="90"/>
      <c r="C81" s="90"/>
      <c r="D81" s="90"/>
      <c r="E81" s="91"/>
      <c r="F81" s="90"/>
      <c r="G81" s="89"/>
    </row>
    <row r="82" spans="1:7" ht="15.75" customHeight="1" x14ac:dyDescent="0.2">
      <c r="A82" s="90"/>
      <c r="B82" s="90"/>
      <c r="C82" s="90"/>
      <c r="D82" s="90"/>
      <c r="E82" s="91"/>
      <c r="F82" s="90"/>
      <c r="G82" s="89"/>
    </row>
    <row r="83" spans="1:7" ht="15.75" customHeight="1" x14ac:dyDescent="0.2">
      <c r="A83" s="90"/>
      <c r="B83" s="90"/>
      <c r="C83" s="90"/>
      <c r="D83" s="90"/>
      <c r="E83" s="91"/>
      <c r="F83" s="90"/>
      <c r="G83" s="89"/>
    </row>
    <row r="84" spans="1:7" ht="15.75" customHeight="1" x14ac:dyDescent="0.2">
      <c r="A84" s="90"/>
      <c r="B84" s="90"/>
      <c r="C84" s="90"/>
      <c r="D84" s="90"/>
      <c r="E84" s="91"/>
      <c r="F84" s="90"/>
      <c r="G84" s="89"/>
    </row>
    <row r="85" spans="1:7" ht="15.75" customHeight="1" x14ac:dyDescent="0.2">
      <c r="A85" s="90"/>
      <c r="B85" s="90"/>
      <c r="C85" s="90"/>
      <c r="D85" s="90"/>
      <c r="E85" s="91"/>
      <c r="F85" s="90"/>
      <c r="G85" s="89"/>
    </row>
    <row r="86" spans="1:7" ht="15.75" customHeight="1" x14ac:dyDescent="0.2">
      <c r="A86" s="90"/>
      <c r="B86" s="90"/>
      <c r="C86" s="90"/>
      <c r="D86" s="90"/>
      <c r="E86" s="91"/>
      <c r="F86" s="90"/>
      <c r="G86" s="89"/>
    </row>
    <row r="87" spans="1:7" ht="15.75" customHeight="1" x14ac:dyDescent="0.2">
      <c r="A87" s="90"/>
      <c r="B87" s="90"/>
      <c r="C87" s="90"/>
      <c r="D87" s="90"/>
      <c r="E87" s="91"/>
      <c r="F87" s="90"/>
      <c r="G87" s="89"/>
    </row>
    <row r="88" spans="1:7" ht="15.75" customHeight="1" x14ac:dyDescent="0.2">
      <c r="A88" s="90"/>
      <c r="B88" s="90"/>
      <c r="C88" s="90"/>
      <c r="D88" s="90"/>
      <c r="E88" s="91"/>
      <c r="F88" s="90"/>
      <c r="G88" s="89"/>
    </row>
    <row r="89" spans="1:7" ht="15.75" customHeight="1" x14ac:dyDescent="0.2">
      <c r="A89" s="90"/>
      <c r="B89" s="90"/>
      <c r="C89" s="90"/>
      <c r="D89" s="90"/>
      <c r="E89" s="91"/>
      <c r="F89" s="90"/>
      <c r="G89" s="89"/>
    </row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G1"/>
    <mergeCell ref="B2:G4"/>
    <mergeCell ref="A5:G6"/>
  </mergeCells>
  <dataValidations count="1">
    <dataValidation type="list" allowBlank="1" showErrorMessage="1" sqref="F8:G66" xr:uid="{969FB74A-C386-4317-AE77-10EF16044050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99C3-D7F5-4B6C-B00A-9EC6E62DD225}">
  <sheetPr codeName="Hoja7">
    <pageSetUpPr fitToPage="1"/>
  </sheetPr>
  <dimension ref="A1:Z1000"/>
  <sheetViews>
    <sheetView showGridLines="0" workbookViewId="0">
      <selection activeCell="B8" sqref="B8:G15"/>
    </sheetView>
  </sheetViews>
  <sheetFormatPr baseColWidth="10" defaultColWidth="12.625" defaultRowHeight="15" customHeight="1" x14ac:dyDescent="0.2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 x14ac:dyDescent="0.2">
      <c r="A1" s="409"/>
      <c r="B1" s="410"/>
      <c r="C1" s="410"/>
      <c r="D1" s="410"/>
      <c r="E1" s="410"/>
      <c r="F1" s="410"/>
      <c r="G1" s="410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 x14ac:dyDescent="0.2">
      <c r="A2" s="115"/>
      <c r="B2" s="419" t="s">
        <v>76</v>
      </c>
      <c r="C2" s="420"/>
      <c r="D2" s="420"/>
      <c r="E2" s="420"/>
      <c r="F2" s="420"/>
      <c r="G2" s="421"/>
    </row>
    <row r="3" spans="1:26" ht="12.75" x14ac:dyDescent="0.2">
      <c r="A3" s="115"/>
      <c r="B3" s="422"/>
      <c r="C3" s="410"/>
      <c r="D3" s="410"/>
      <c r="E3" s="410"/>
      <c r="F3" s="410"/>
      <c r="G3" s="423"/>
    </row>
    <row r="4" spans="1:26" ht="12.75" x14ac:dyDescent="0.2">
      <c r="A4" s="115"/>
      <c r="B4" s="424"/>
      <c r="C4" s="425"/>
      <c r="D4" s="425"/>
      <c r="E4" s="425"/>
      <c r="F4" s="425"/>
      <c r="G4" s="426"/>
    </row>
    <row r="5" spans="1:26" ht="12.75" x14ac:dyDescent="0.2">
      <c r="A5" s="409"/>
      <c r="B5" s="410"/>
      <c r="C5" s="410"/>
      <c r="D5" s="410"/>
      <c r="E5" s="410"/>
      <c r="F5" s="410"/>
      <c r="G5" s="410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 x14ac:dyDescent="0.2">
      <c r="A6" s="410"/>
      <c r="B6" s="410"/>
      <c r="C6" s="410"/>
      <c r="D6" s="410"/>
      <c r="E6" s="410"/>
      <c r="F6" s="410"/>
      <c r="G6" s="410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 x14ac:dyDescent="0.2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 x14ac:dyDescent="0.2">
      <c r="A8" s="101"/>
      <c r="B8" s="114"/>
      <c r="C8" s="114"/>
      <c r="D8" s="107"/>
      <c r="E8" s="113"/>
      <c r="F8" s="107"/>
      <c r="G8" s="100"/>
    </row>
    <row r="9" spans="1:26" ht="15.75" x14ac:dyDescent="0.2">
      <c r="A9" s="101"/>
      <c r="B9" s="114"/>
      <c r="C9" s="114"/>
      <c r="D9" s="107"/>
      <c r="E9" s="113"/>
      <c r="F9" s="107"/>
      <c r="G9" s="100"/>
    </row>
    <row r="10" spans="1:26" ht="15.75" x14ac:dyDescent="0.2">
      <c r="A10" s="101"/>
      <c r="B10" s="114"/>
      <c r="C10" s="114"/>
      <c r="D10" s="107"/>
      <c r="E10" s="113"/>
      <c r="F10" s="107"/>
      <c r="G10" s="100"/>
    </row>
    <row r="11" spans="1:26" ht="15.75" x14ac:dyDescent="0.2">
      <c r="A11" s="101"/>
      <c r="B11" s="114"/>
      <c r="C11" s="114"/>
      <c r="D11" s="107"/>
      <c r="E11" s="113"/>
      <c r="F11" s="107"/>
      <c r="G11" s="100"/>
    </row>
    <row r="12" spans="1:26" ht="15.75" x14ac:dyDescent="0.2">
      <c r="A12" s="101"/>
      <c r="B12" s="114"/>
      <c r="C12" s="114"/>
      <c r="D12" s="107"/>
      <c r="E12" s="113"/>
      <c r="F12" s="107"/>
      <c r="G12" s="100"/>
    </row>
    <row r="13" spans="1:26" ht="15.75" x14ac:dyDescent="0.2">
      <c r="A13" s="101"/>
      <c r="B13" s="114"/>
      <c r="C13" s="114"/>
      <c r="D13" s="107"/>
      <c r="E13" s="113"/>
      <c r="F13" s="107"/>
      <c r="G13" s="100"/>
    </row>
    <row r="14" spans="1:26" ht="15.75" x14ac:dyDescent="0.2">
      <c r="A14" s="101"/>
      <c r="B14" s="114"/>
      <c r="C14" s="114"/>
      <c r="D14" s="107"/>
      <c r="E14" s="113"/>
      <c r="F14" s="112"/>
      <c r="G14" s="100"/>
    </row>
    <row r="15" spans="1:26" x14ac:dyDescent="0.2">
      <c r="A15" s="101"/>
      <c r="B15" s="100"/>
      <c r="C15" s="100"/>
      <c r="D15" s="99"/>
      <c r="E15" s="111"/>
      <c r="F15" s="110"/>
      <c r="G15" s="99"/>
    </row>
    <row r="16" spans="1:26" ht="15.75" x14ac:dyDescent="0.2">
      <c r="A16" s="101"/>
      <c r="B16" s="100"/>
      <c r="C16" s="100"/>
      <c r="D16" s="99"/>
      <c r="E16" s="104"/>
      <c r="F16" s="107"/>
      <c r="G16" s="100"/>
    </row>
    <row r="17" spans="1:7" ht="15.75" x14ac:dyDescent="0.2">
      <c r="A17" s="101"/>
      <c r="B17" s="100"/>
      <c r="C17" s="100"/>
      <c r="D17" s="99"/>
      <c r="E17" s="104"/>
      <c r="F17" s="107"/>
      <c r="G17" s="100"/>
    </row>
    <row r="18" spans="1:7" ht="15.75" x14ac:dyDescent="0.2">
      <c r="A18" s="101"/>
      <c r="B18" s="100"/>
      <c r="C18" s="100"/>
      <c r="D18" s="99"/>
      <c r="E18" s="104"/>
      <c r="F18" s="107"/>
      <c r="G18" s="100"/>
    </row>
    <row r="19" spans="1:7" ht="15.75" x14ac:dyDescent="0.2">
      <c r="A19" s="101"/>
      <c r="B19" s="100"/>
      <c r="C19" s="100"/>
      <c r="D19" s="99"/>
      <c r="E19" s="104"/>
      <c r="F19" s="107"/>
      <c r="G19" s="100"/>
    </row>
    <row r="20" spans="1:7" ht="15.75" x14ac:dyDescent="0.2">
      <c r="A20" s="101"/>
      <c r="B20" s="100"/>
      <c r="C20" s="100"/>
      <c r="D20" s="99"/>
      <c r="E20" s="104"/>
      <c r="F20" s="107"/>
      <c r="G20" s="100"/>
    </row>
    <row r="21" spans="1:7" ht="15.75" customHeight="1" x14ac:dyDescent="0.2">
      <c r="A21" s="109"/>
      <c r="B21" s="100"/>
      <c r="C21" s="100"/>
      <c r="D21" s="99"/>
      <c r="E21" s="104"/>
      <c r="F21" s="107"/>
      <c r="G21" s="100"/>
    </row>
    <row r="22" spans="1:7" ht="15.75" customHeight="1" x14ac:dyDescent="0.2">
      <c r="A22" s="109"/>
      <c r="B22" s="100"/>
      <c r="C22" s="100"/>
      <c r="D22" s="99"/>
      <c r="E22" s="104"/>
      <c r="F22" s="107"/>
      <c r="G22" s="100"/>
    </row>
    <row r="23" spans="1:7" ht="15.75" customHeight="1" x14ac:dyDescent="0.2">
      <c r="A23" s="109"/>
      <c r="B23" s="100"/>
      <c r="C23" s="100"/>
      <c r="D23" s="99"/>
      <c r="E23" s="104"/>
      <c r="F23" s="107"/>
      <c r="G23" s="100"/>
    </row>
    <row r="24" spans="1:7" ht="15.75" customHeight="1" x14ac:dyDescent="0.2">
      <c r="A24" s="108"/>
      <c r="B24" s="100"/>
      <c r="C24" s="100"/>
      <c r="D24" s="99"/>
      <c r="E24" s="104"/>
      <c r="F24" s="107"/>
      <c r="G24" s="100"/>
    </row>
    <row r="25" spans="1:7" ht="15.75" customHeight="1" x14ac:dyDescent="0.2">
      <c r="A25" s="108"/>
      <c r="B25" s="100"/>
      <c r="C25" s="100"/>
      <c r="D25" s="99"/>
      <c r="E25" s="104"/>
      <c r="F25" s="107"/>
      <c r="G25" s="100"/>
    </row>
    <row r="26" spans="1:7" ht="15.75" customHeight="1" x14ac:dyDescent="0.2">
      <c r="A26" s="108"/>
      <c r="B26" s="100"/>
      <c r="C26" s="100"/>
      <c r="D26" s="99"/>
      <c r="E26" s="104"/>
      <c r="F26" s="107"/>
      <c r="G26" s="100"/>
    </row>
    <row r="27" spans="1:7" ht="15.75" customHeight="1" x14ac:dyDescent="0.2">
      <c r="A27" s="108"/>
      <c r="B27" s="100"/>
      <c r="C27" s="100"/>
      <c r="D27" s="99"/>
      <c r="E27" s="104"/>
      <c r="F27" s="107"/>
      <c r="G27" s="100"/>
    </row>
    <row r="28" spans="1:7" ht="15.75" customHeight="1" x14ac:dyDescent="0.2">
      <c r="A28" s="108"/>
      <c r="B28" s="100"/>
      <c r="C28" s="100"/>
      <c r="D28" s="99"/>
      <c r="E28" s="104"/>
      <c r="F28" s="107"/>
      <c r="G28" s="100"/>
    </row>
    <row r="29" spans="1:7" ht="15.75" customHeight="1" x14ac:dyDescent="0.2">
      <c r="A29" s="108"/>
      <c r="B29" s="100"/>
      <c r="C29" s="100"/>
      <c r="D29" s="99"/>
      <c r="E29" s="104"/>
      <c r="F29" s="107"/>
      <c r="G29" s="100"/>
    </row>
    <row r="30" spans="1:7" ht="30" customHeight="1" x14ac:dyDescent="0.2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 x14ac:dyDescent="0.2">
      <c r="A31" s="106"/>
      <c r="B31" s="100"/>
      <c r="C31" s="100"/>
      <c r="D31" s="99"/>
      <c r="E31" s="104"/>
      <c r="F31" s="107"/>
      <c r="G31" s="100"/>
    </row>
    <row r="32" spans="1:7" ht="15.75" customHeight="1" x14ac:dyDescent="0.2">
      <c r="A32" s="106"/>
      <c r="B32" s="100"/>
      <c r="C32" s="100"/>
      <c r="D32" s="99"/>
      <c r="E32" s="104"/>
      <c r="F32" s="107"/>
      <c r="G32" s="100"/>
    </row>
    <row r="33" spans="1:7" ht="15.75" customHeight="1" x14ac:dyDescent="0.2">
      <c r="A33" s="106"/>
      <c r="B33" s="100"/>
      <c r="C33" s="100"/>
      <c r="D33" s="99"/>
      <c r="E33" s="104"/>
      <c r="F33" s="107"/>
      <c r="G33" s="100"/>
    </row>
    <row r="34" spans="1:7" ht="15.75" customHeight="1" x14ac:dyDescent="0.2">
      <c r="A34" s="106"/>
      <c r="B34" s="100"/>
      <c r="C34" s="100"/>
      <c r="D34" s="99"/>
      <c r="E34" s="104"/>
      <c r="F34" s="107"/>
      <c r="G34" s="100"/>
    </row>
    <row r="35" spans="1:7" ht="15.75" customHeight="1" x14ac:dyDescent="0.2">
      <c r="A35" s="106"/>
      <c r="B35" s="100"/>
      <c r="C35" s="100"/>
      <c r="D35" s="99"/>
      <c r="E35" s="104"/>
      <c r="F35" s="107"/>
      <c r="G35" s="100"/>
    </row>
    <row r="36" spans="1:7" ht="15.75" customHeight="1" x14ac:dyDescent="0.2">
      <c r="A36" s="106"/>
      <c r="B36" s="100"/>
      <c r="C36" s="100"/>
      <c r="D36" s="99"/>
      <c r="E36" s="104"/>
      <c r="F36" s="107"/>
      <c r="G36" s="100"/>
    </row>
    <row r="37" spans="1:7" ht="15.75" customHeight="1" x14ac:dyDescent="0.2">
      <c r="A37" s="106"/>
      <c r="B37" s="100"/>
      <c r="C37" s="100"/>
      <c r="D37" s="99"/>
      <c r="E37" s="104"/>
      <c r="F37" s="107"/>
      <c r="G37" s="100"/>
    </row>
    <row r="38" spans="1:7" ht="15.75" customHeight="1" x14ac:dyDescent="0.2">
      <c r="A38" s="106"/>
      <c r="B38" s="100"/>
      <c r="C38" s="100"/>
      <c r="D38" s="99"/>
      <c r="E38" s="104"/>
      <c r="F38" s="107"/>
      <c r="G38" s="100"/>
    </row>
    <row r="39" spans="1:7" ht="15.75" customHeight="1" x14ac:dyDescent="0.2">
      <c r="A39" s="106"/>
      <c r="B39" s="100"/>
      <c r="C39" s="100"/>
      <c r="D39" s="99"/>
      <c r="E39" s="104"/>
      <c r="F39" s="107"/>
      <c r="G39" s="100"/>
    </row>
    <row r="40" spans="1:7" ht="15.75" customHeight="1" x14ac:dyDescent="0.2">
      <c r="A40" s="106"/>
      <c r="B40" s="100"/>
      <c r="C40" s="100"/>
      <c r="D40" s="99"/>
      <c r="E40" s="104"/>
      <c r="F40" s="107"/>
      <c r="G40" s="100"/>
    </row>
    <row r="41" spans="1:7" ht="15.75" customHeight="1" x14ac:dyDescent="0.2">
      <c r="A41" s="106"/>
      <c r="B41" s="100"/>
      <c r="C41" s="100"/>
      <c r="D41" s="99"/>
      <c r="E41" s="104"/>
      <c r="F41" s="107"/>
      <c r="G41" s="100"/>
    </row>
    <row r="42" spans="1:7" ht="15.75" customHeight="1" x14ac:dyDescent="0.2">
      <c r="A42" s="106"/>
      <c r="B42" s="100"/>
      <c r="C42" s="100"/>
      <c r="D42" s="99"/>
      <c r="E42" s="104"/>
      <c r="F42" s="107"/>
      <c r="G42" s="100"/>
    </row>
    <row r="43" spans="1:7" ht="15.75" customHeight="1" x14ac:dyDescent="0.2">
      <c r="A43" s="106"/>
      <c r="B43" s="100"/>
      <c r="C43" s="105"/>
      <c r="D43" s="99"/>
      <c r="E43" s="104"/>
      <c r="F43" s="103"/>
      <c r="G43" s="102"/>
    </row>
    <row r="44" spans="1:7" ht="15.75" customHeight="1" x14ac:dyDescent="0.2">
      <c r="A44" s="101"/>
      <c r="B44" s="100"/>
      <c r="C44" s="96"/>
      <c r="D44" s="99"/>
      <c r="E44" s="98"/>
      <c r="F44" s="97"/>
      <c r="G44" s="96"/>
    </row>
    <row r="45" spans="1:7" ht="15.75" customHeight="1" x14ac:dyDescent="0.2">
      <c r="A45" s="93"/>
      <c r="B45" s="93"/>
      <c r="C45" s="93"/>
      <c r="D45" s="93"/>
      <c r="E45" s="95"/>
      <c r="F45" s="93"/>
      <c r="G45" s="92"/>
    </row>
    <row r="46" spans="1:7" ht="15.75" customHeight="1" x14ac:dyDescent="0.2">
      <c r="A46" s="93"/>
      <c r="B46" s="93"/>
      <c r="C46" s="93"/>
      <c r="D46" s="93"/>
      <c r="E46" s="95"/>
      <c r="F46" s="93"/>
      <c r="G46" s="92"/>
    </row>
    <row r="47" spans="1:7" ht="15.75" customHeight="1" x14ac:dyDescent="0.2">
      <c r="A47" s="93"/>
      <c r="B47" s="93"/>
      <c r="C47" s="93"/>
      <c r="D47" s="93"/>
      <c r="E47" s="95"/>
      <c r="F47" s="93"/>
      <c r="G47" s="92"/>
    </row>
    <row r="48" spans="1:7" ht="15.75" customHeight="1" x14ac:dyDescent="0.2">
      <c r="A48" s="93"/>
      <c r="B48" s="93"/>
      <c r="C48" s="93"/>
      <c r="D48" s="93"/>
      <c r="E48" s="94"/>
      <c r="F48" s="93"/>
      <c r="G48" s="92"/>
    </row>
    <row r="49" spans="1:7" ht="15.75" customHeight="1" x14ac:dyDescent="0.2">
      <c r="A49" s="93"/>
      <c r="B49" s="93"/>
      <c r="C49" s="93"/>
      <c r="D49" s="93"/>
      <c r="E49" s="94"/>
      <c r="F49" s="93"/>
      <c r="G49" s="92"/>
    </row>
    <row r="50" spans="1:7" ht="15.75" customHeight="1" x14ac:dyDescent="0.2">
      <c r="A50" s="93"/>
      <c r="B50" s="93"/>
      <c r="C50" s="93"/>
      <c r="D50" s="93"/>
      <c r="E50" s="94"/>
      <c r="F50" s="93"/>
      <c r="G50" s="92"/>
    </row>
    <row r="51" spans="1:7" ht="15.75" customHeight="1" x14ac:dyDescent="0.2">
      <c r="A51" s="93"/>
      <c r="B51" s="93"/>
      <c r="C51" s="93"/>
      <c r="D51" s="93"/>
      <c r="E51" s="94"/>
      <c r="F51" s="93"/>
      <c r="G51" s="92"/>
    </row>
    <row r="52" spans="1:7" ht="15.75" customHeight="1" x14ac:dyDescent="0.2">
      <c r="A52" s="93"/>
      <c r="B52" s="93"/>
      <c r="C52" s="93"/>
      <c r="D52" s="93"/>
      <c r="E52" s="94"/>
      <c r="F52" s="93"/>
      <c r="G52" s="92"/>
    </row>
    <row r="53" spans="1:7" ht="15.75" customHeight="1" x14ac:dyDescent="0.2">
      <c r="A53" s="93"/>
      <c r="B53" s="93"/>
      <c r="C53" s="93"/>
      <c r="D53" s="93"/>
      <c r="E53" s="94"/>
      <c r="F53" s="93"/>
      <c r="G53" s="92"/>
    </row>
    <row r="54" spans="1:7" ht="15.75" customHeight="1" x14ac:dyDescent="0.2">
      <c r="A54" s="93"/>
      <c r="B54" s="93"/>
      <c r="C54" s="93"/>
      <c r="D54" s="93"/>
      <c r="E54" s="94"/>
      <c r="F54" s="93"/>
      <c r="G54" s="92"/>
    </row>
    <row r="55" spans="1:7" ht="15.75" customHeight="1" x14ac:dyDescent="0.2">
      <c r="A55" s="93"/>
      <c r="B55" s="93"/>
      <c r="C55" s="93"/>
      <c r="D55" s="93"/>
      <c r="E55" s="94"/>
      <c r="F55" s="93"/>
      <c r="G55" s="92"/>
    </row>
    <row r="56" spans="1:7" ht="15.75" customHeight="1" x14ac:dyDescent="0.2">
      <c r="A56" s="93"/>
      <c r="B56" s="93"/>
      <c r="C56" s="93"/>
      <c r="D56" s="93"/>
      <c r="E56" s="94"/>
      <c r="F56" s="93"/>
      <c r="G56" s="92"/>
    </row>
    <row r="57" spans="1:7" ht="15.75" customHeight="1" x14ac:dyDescent="0.2">
      <c r="A57" s="93"/>
      <c r="B57" s="93"/>
      <c r="C57" s="93"/>
      <c r="D57" s="93"/>
      <c r="E57" s="94"/>
      <c r="F57" s="93"/>
      <c r="G57" s="92"/>
    </row>
    <row r="58" spans="1:7" ht="15.75" customHeight="1" x14ac:dyDescent="0.2">
      <c r="A58" s="93"/>
      <c r="B58" s="93"/>
      <c r="C58" s="93"/>
      <c r="D58" s="93"/>
      <c r="E58" s="94"/>
      <c r="F58" s="93"/>
      <c r="G58" s="92"/>
    </row>
    <row r="59" spans="1:7" ht="15.75" customHeight="1" x14ac:dyDescent="0.2">
      <c r="A59" s="93"/>
      <c r="B59" s="93"/>
      <c r="C59" s="93"/>
      <c r="D59" s="93"/>
      <c r="E59" s="94"/>
      <c r="F59" s="93"/>
      <c r="G59" s="92"/>
    </row>
    <row r="60" spans="1:7" ht="15.75" customHeight="1" x14ac:dyDescent="0.2">
      <c r="A60" s="93"/>
      <c r="B60" s="93"/>
      <c r="C60" s="93"/>
      <c r="D60" s="93"/>
      <c r="E60" s="94"/>
      <c r="F60" s="93"/>
      <c r="G60" s="92"/>
    </row>
    <row r="61" spans="1:7" ht="15.75" customHeight="1" x14ac:dyDescent="0.2">
      <c r="A61" s="93"/>
      <c r="B61" s="93"/>
      <c r="C61" s="93"/>
      <c r="D61" s="93"/>
      <c r="E61" s="94"/>
      <c r="F61" s="93"/>
      <c r="G61" s="92"/>
    </row>
    <row r="62" spans="1:7" ht="15.75" customHeight="1" x14ac:dyDescent="0.2">
      <c r="A62" s="93"/>
      <c r="B62" s="93"/>
      <c r="C62" s="93"/>
      <c r="D62" s="93"/>
      <c r="E62" s="94"/>
      <c r="F62" s="93"/>
      <c r="G62" s="92"/>
    </row>
    <row r="63" spans="1:7" ht="15.75" customHeight="1" x14ac:dyDescent="0.2">
      <c r="A63" s="93"/>
      <c r="B63" s="93"/>
      <c r="C63" s="93"/>
      <c r="D63" s="93"/>
      <c r="E63" s="94"/>
      <c r="F63" s="93"/>
      <c r="G63" s="92"/>
    </row>
    <row r="64" spans="1:7" ht="15.75" customHeight="1" x14ac:dyDescent="0.2">
      <c r="A64" s="93"/>
      <c r="B64" s="93"/>
      <c r="C64" s="93"/>
      <c r="D64" s="93"/>
      <c r="E64" s="94"/>
      <c r="F64" s="93"/>
      <c r="G64" s="92"/>
    </row>
    <row r="65" spans="1:7" ht="15.75" customHeight="1" x14ac:dyDescent="0.2">
      <c r="A65" s="93"/>
      <c r="B65" s="93"/>
      <c r="C65" s="93"/>
      <c r="D65" s="93"/>
      <c r="E65" s="94"/>
      <c r="F65" s="93"/>
      <c r="G65" s="92"/>
    </row>
    <row r="66" spans="1:7" ht="15.75" customHeight="1" x14ac:dyDescent="0.2">
      <c r="A66" s="93"/>
      <c r="B66" s="93"/>
      <c r="C66" s="93"/>
      <c r="D66" s="93"/>
      <c r="E66" s="94"/>
      <c r="F66" s="93"/>
      <c r="G66" s="92"/>
    </row>
    <row r="67" spans="1:7" ht="15.75" customHeight="1" x14ac:dyDescent="0.2">
      <c r="A67" s="90"/>
      <c r="B67" s="90"/>
      <c r="C67" s="90"/>
      <c r="D67" s="90"/>
      <c r="E67" s="91"/>
      <c r="F67" s="90"/>
      <c r="G67" s="89"/>
    </row>
    <row r="68" spans="1:7" ht="15.75" customHeight="1" x14ac:dyDescent="0.2">
      <c r="A68" s="90"/>
      <c r="B68" s="90"/>
      <c r="C68" s="90"/>
      <c r="D68" s="90"/>
      <c r="E68" s="91"/>
      <c r="F68" s="90"/>
      <c r="G68" s="89"/>
    </row>
    <row r="69" spans="1:7" ht="15.75" customHeight="1" x14ac:dyDescent="0.2">
      <c r="A69" s="90"/>
      <c r="B69" s="90"/>
      <c r="C69" s="90"/>
      <c r="D69" s="90"/>
      <c r="E69" s="91"/>
      <c r="F69" s="90"/>
      <c r="G69" s="89"/>
    </row>
    <row r="70" spans="1:7" ht="15.75" customHeight="1" x14ac:dyDescent="0.2">
      <c r="A70" s="90"/>
      <c r="B70" s="90"/>
      <c r="C70" s="90"/>
      <c r="D70" s="90"/>
      <c r="E70" s="91"/>
      <c r="F70" s="90"/>
      <c r="G70" s="89"/>
    </row>
    <row r="71" spans="1:7" ht="15.75" customHeight="1" x14ac:dyDescent="0.2">
      <c r="A71" s="90"/>
      <c r="B71" s="90"/>
      <c r="C71" s="90"/>
      <c r="D71" s="90"/>
      <c r="E71" s="91"/>
      <c r="F71" s="90"/>
      <c r="G71" s="89"/>
    </row>
    <row r="72" spans="1:7" ht="15.75" customHeight="1" x14ac:dyDescent="0.2">
      <c r="A72" s="90"/>
      <c r="B72" s="90"/>
      <c r="C72" s="90"/>
      <c r="D72" s="90"/>
      <c r="E72" s="91"/>
      <c r="F72" s="90"/>
      <c r="G72" s="89"/>
    </row>
    <row r="73" spans="1:7" ht="15.75" customHeight="1" x14ac:dyDescent="0.2">
      <c r="A73" s="90"/>
      <c r="B73" s="90"/>
      <c r="C73" s="90"/>
      <c r="D73" s="90"/>
      <c r="E73" s="91"/>
      <c r="F73" s="90"/>
      <c r="G73" s="89"/>
    </row>
    <row r="74" spans="1:7" ht="15.75" customHeight="1" x14ac:dyDescent="0.2">
      <c r="A74" s="90"/>
      <c r="B74" s="90"/>
      <c r="C74" s="90"/>
      <c r="D74" s="90"/>
      <c r="E74" s="91"/>
      <c r="F74" s="90"/>
      <c r="G74" s="89"/>
    </row>
    <row r="75" spans="1:7" ht="15.75" customHeight="1" x14ac:dyDescent="0.2">
      <c r="A75" s="90"/>
      <c r="B75" s="90"/>
      <c r="C75" s="90"/>
      <c r="D75" s="90"/>
      <c r="E75" s="91"/>
      <c r="F75" s="90"/>
      <c r="G75" s="89"/>
    </row>
    <row r="76" spans="1:7" ht="15.75" customHeight="1" x14ac:dyDescent="0.2">
      <c r="A76" s="90"/>
      <c r="B76" s="90"/>
      <c r="C76" s="90"/>
      <c r="D76" s="90"/>
      <c r="E76" s="91"/>
      <c r="F76" s="90"/>
      <c r="G76" s="89"/>
    </row>
    <row r="77" spans="1:7" ht="15.75" customHeight="1" x14ac:dyDescent="0.2">
      <c r="A77" s="90"/>
      <c r="B77" s="90"/>
      <c r="C77" s="90"/>
      <c r="D77" s="90"/>
      <c r="E77" s="91"/>
      <c r="F77" s="90"/>
      <c r="G77" s="89"/>
    </row>
    <row r="78" spans="1:7" ht="15.75" customHeight="1" x14ac:dyDescent="0.2">
      <c r="A78" s="90"/>
      <c r="B78" s="90"/>
      <c r="C78" s="90"/>
      <c r="D78" s="90"/>
      <c r="E78" s="91"/>
      <c r="F78" s="90"/>
      <c r="G78" s="89"/>
    </row>
    <row r="79" spans="1:7" ht="15.75" customHeight="1" x14ac:dyDescent="0.2">
      <c r="A79" s="90"/>
      <c r="B79" s="90"/>
      <c r="C79" s="90"/>
      <c r="D79" s="90"/>
      <c r="E79" s="91"/>
      <c r="F79" s="90"/>
      <c r="G79" s="89"/>
    </row>
    <row r="80" spans="1:7" ht="15.75" customHeight="1" x14ac:dyDescent="0.2">
      <c r="A80" s="90"/>
      <c r="B80" s="90"/>
      <c r="C80" s="90"/>
      <c r="D80" s="90"/>
      <c r="E80" s="91"/>
      <c r="F80" s="90"/>
      <c r="G80" s="89"/>
    </row>
    <row r="81" spans="1:7" ht="15.75" customHeight="1" x14ac:dyDescent="0.2">
      <c r="A81" s="90"/>
      <c r="B81" s="90"/>
      <c r="C81" s="90"/>
      <c r="D81" s="90"/>
      <c r="E81" s="91"/>
      <c r="F81" s="90"/>
      <c r="G81" s="89"/>
    </row>
    <row r="82" spans="1:7" ht="15.75" customHeight="1" x14ac:dyDescent="0.2">
      <c r="A82" s="90"/>
      <c r="B82" s="90"/>
      <c r="C82" s="90"/>
      <c r="D82" s="90"/>
      <c r="E82" s="91"/>
      <c r="F82" s="90"/>
      <c r="G82" s="89"/>
    </row>
    <row r="83" spans="1:7" ht="15.75" customHeight="1" x14ac:dyDescent="0.2">
      <c r="A83" s="90"/>
      <c r="B83" s="90"/>
      <c r="C83" s="90"/>
      <c r="D83" s="90"/>
      <c r="E83" s="91"/>
      <c r="F83" s="90"/>
      <c r="G83" s="89"/>
    </row>
    <row r="84" spans="1:7" ht="15.75" customHeight="1" x14ac:dyDescent="0.2">
      <c r="A84" s="90"/>
      <c r="B84" s="90"/>
      <c r="C84" s="90"/>
      <c r="D84" s="90"/>
      <c r="E84" s="91"/>
      <c r="F84" s="90"/>
      <c r="G84" s="89"/>
    </row>
    <row r="85" spans="1:7" ht="15.75" customHeight="1" x14ac:dyDescent="0.2">
      <c r="A85" s="90"/>
      <c r="B85" s="90"/>
      <c r="C85" s="90"/>
      <c r="D85" s="90"/>
      <c r="E85" s="91"/>
      <c r="F85" s="90"/>
      <c r="G85" s="89"/>
    </row>
    <row r="86" spans="1:7" ht="15.75" customHeight="1" x14ac:dyDescent="0.2">
      <c r="A86" s="90"/>
      <c r="B86" s="90"/>
      <c r="C86" s="90"/>
      <c r="D86" s="90"/>
      <c r="E86" s="91"/>
      <c r="F86" s="90"/>
      <c r="G86" s="89"/>
    </row>
    <row r="87" spans="1:7" ht="15.75" customHeight="1" x14ac:dyDescent="0.2">
      <c r="A87" s="90"/>
      <c r="B87" s="90"/>
      <c r="C87" s="90"/>
      <c r="D87" s="90"/>
      <c r="E87" s="91"/>
      <c r="F87" s="90"/>
      <c r="G87" s="89"/>
    </row>
    <row r="88" spans="1:7" ht="15.75" customHeight="1" x14ac:dyDescent="0.2">
      <c r="A88" s="90"/>
      <c r="B88" s="90"/>
      <c r="C88" s="90"/>
      <c r="D88" s="90"/>
      <c r="E88" s="91"/>
      <c r="F88" s="90"/>
      <c r="G88" s="89"/>
    </row>
    <row r="89" spans="1:7" ht="15.75" customHeight="1" x14ac:dyDescent="0.2">
      <c r="A89" s="90"/>
      <c r="B89" s="90"/>
      <c r="C89" s="90"/>
      <c r="D89" s="90"/>
      <c r="E89" s="91"/>
      <c r="F89" s="90"/>
      <c r="G89" s="89"/>
    </row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G1"/>
    <mergeCell ref="B2:G4"/>
    <mergeCell ref="A5:G6"/>
  </mergeCells>
  <dataValidations count="1">
    <dataValidation type="list" allowBlank="1" showErrorMessage="1" sqref="F8:G66" xr:uid="{647971F2-1C0D-4A0B-8EC7-60C5C12A4EE2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DD7F-8F52-48B6-9710-CEA1F9FEF177}">
  <sheetPr codeName="Hoja8">
    <pageSetUpPr fitToPage="1"/>
  </sheetPr>
  <dimension ref="A1:Z1000"/>
  <sheetViews>
    <sheetView showGridLines="0" workbookViewId="0">
      <selection activeCell="B8" sqref="B8:G15"/>
    </sheetView>
  </sheetViews>
  <sheetFormatPr baseColWidth="10" defaultColWidth="12.625" defaultRowHeight="15" customHeight="1" x14ac:dyDescent="0.2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 x14ac:dyDescent="0.2">
      <c r="A1" s="409"/>
      <c r="B1" s="410"/>
      <c r="C1" s="410"/>
      <c r="D1" s="410"/>
      <c r="E1" s="410"/>
      <c r="F1" s="410"/>
      <c r="G1" s="410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 x14ac:dyDescent="0.2">
      <c r="A2" s="115"/>
      <c r="B2" s="419" t="s">
        <v>76</v>
      </c>
      <c r="C2" s="420"/>
      <c r="D2" s="420"/>
      <c r="E2" s="420"/>
      <c r="F2" s="420"/>
      <c r="G2" s="421"/>
    </row>
    <row r="3" spans="1:26" ht="12.75" x14ac:dyDescent="0.2">
      <c r="A3" s="115"/>
      <c r="B3" s="422"/>
      <c r="C3" s="410"/>
      <c r="D3" s="410"/>
      <c r="E3" s="410"/>
      <c r="F3" s="410"/>
      <c r="G3" s="423"/>
    </row>
    <row r="4" spans="1:26" ht="12.75" x14ac:dyDescent="0.2">
      <c r="A4" s="115"/>
      <c r="B4" s="424"/>
      <c r="C4" s="425"/>
      <c r="D4" s="425"/>
      <c r="E4" s="425"/>
      <c r="F4" s="425"/>
      <c r="G4" s="426"/>
    </row>
    <row r="5" spans="1:26" ht="12.75" x14ac:dyDescent="0.2">
      <c r="A5" s="409"/>
      <c r="B5" s="410"/>
      <c r="C5" s="410"/>
      <c r="D5" s="410"/>
      <c r="E5" s="410"/>
      <c r="F5" s="410"/>
      <c r="G5" s="410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 x14ac:dyDescent="0.2">
      <c r="A6" s="410"/>
      <c r="B6" s="410"/>
      <c r="C6" s="410"/>
      <c r="D6" s="410"/>
      <c r="E6" s="410"/>
      <c r="F6" s="410"/>
      <c r="G6" s="410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 x14ac:dyDescent="0.2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 x14ac:dyDescent="0.2">
      <c r="A8" s="101"/>
      <c r="B8" s="114"/>
      <c r="C8" s="114"/>
      <c r="D8" s="107"/>
      <c r="E8" s="113"/>
      <c r="F8" s="107"/>
      <c r="G8" s="100"/>
    </row>
    <row r="9" spans="1:26" ht="15.75" x14ac:dyDescent="0.2">
      <c r="A9" s="101"/>
      <c r="B9" s="114"/>
      <c r="C9" s="114"/>
      <c r="D9" s="107"/>
      <c r="E9" s="113"/>
      <c r="F9" s="107"/>
      <c r="G9" s="100"/>
    </row>
    <row r="10" spans="1:26" ht="15.75" x14ac:dyDescent="0.2">
      <c r="A10" s="101"/>
      <c r="B10" s="114"/>
      <c r="C10" s="114"/>
      <c r="D10" s="107"/>
      <c r="E10" s="113"/>
      <c r="F10" s="107"/>
      <c r="G10" s="100"/>
    </row>
    <row r="11" spans="1:26" ht="15.75" x14ac:dyDescent="0.2">
      <c r="A11" s="101"/>
      <c r="B11" s="114"/>
      <c r="C11" s="114"/>
      <c r="D11" s="107"/>
      <c r="E11" s="113"/>
      <c r="F11" s="107"/>
      <c r="G11" s="100"/>
    </row>
    <row r="12" spans="1:26" ht="15.75" x14ac:dyDescent="0.2">
      <c r="A12" s="101"/>
      <c r="B12" s="114"/>
      <c r="C12" s="114"/>
      <c r="D12" s="107"/>
      <c r="E12" s="113"/>
      <c r="F12" s="107"/>
      <c r="G12" s="100"/>
    </row>
    <row r="13" spans="1:26" ht="15.75" x14ac:dyDescent="0.2">
      <c r="A13" s="101"/>
      <c r="B13" s="114"/>
      <c r="C13" s="114"/>
      <c r="D13" s="107"/>
      <c r="E13" s="113"/>
      <c r="F13" s="107"/>
      <c r="G13" s="100"/>
    </row>
    <row r="14" spans="1:26" ht="15.75" x14ac:dyDescent="0.2">
      <c r="A14" s="101"/>
      <c r="B14" s="114"/>
      <c r="C14" s="114"/>
      <c r="D14" s="107"/>
      <c r="E14" s="113"/>
      <c r="F14" s="112"/>
      <c r="G14" s="100"/>
    </row>
    <row r="15" spans="1:26" x14ac:dyDescent="0.2">
      <c r="A15" s="101"/>
      <c r="B15" s="100"/>
      <c r="C15" s="100"/>
      <c r="D15" s="99"/>
      <c r="E15" s="111"/>
      <c r="F15" s="110"/>
      <c r="G15" s="99"/>
    </row>
    <row r="16" spans="1:26" ht="15.75" x14ac:dyDescent="0.2">
      <c r="A16" s="101"/>
      <c r="B16" s="100"/>
      <c r="C16" s="100"/>
      <c r="D16" s="99"/>
      <c r="E16" s="104"/>
      <c r="F16" s="107"/>
      <c r="G16" s="100"/>
    </row>
    <row r="17" spans="1:7" ht="15.75" x14ac:dyDescent="0.2">
      <c r="A17" s="101"/>
      <c r="B17" s="100"/>
      <c r="C17" s="100"/>
      <c r="D17" s="99"/>
      <c r="E17" s="104"/>
      <c r="F17" s="107"/>
      <c r="G17" s="100"/>
    </row>
    <row r="18" spans="1:7" ht="15.75" x14ac:dyDescent="0.2">
      <c r="A18" s="101"/>
      <c r="B18" s="100"/>
      <c r="C18" s="100"/>
      <c r="D18" s="99"/>
      <c r="E18" s="104"/>
      <c r="F18" s="107"/>
      <c r="G18" s="100"/>
    </row>
    <row r="19" spans="1:7" ht="15.75" x14ac:dyDescent="0.2">
      <c r="A19" s="101"/>
      <c r="B19" s="100"/>
      <c r="C19" s="100"/>
      <c r="D19" s="99"/>
      <c r="E19" s="104"/>
      <c r="F19" s="107"/>
      <c r="G19" s="100"/>
    </row>
    <row r="20" spans="1:7" ht="15.75" x14ac:dyDescent="0.2">
      <c r="A20" s="101"/>
      <c r="B20" s="100"/>
      <c r="C20" s="100"/>
      <c r="D20" s="99"/>
      <c r="E20" s="104"/>
      <c r="F20" s="107"/>
      <c r="G20" s="100"/>
    </row>
    <row r="21" spans="1:7" ht="15.75" customHeight="1" x14ac:dyDescent="0.2">
      <c r="A21" s="109"/>
      <c r="B21" s="100"/>
      <c r="C21" s="100"/>
      <c r="D21" s="99"/>
      <c r="E21" s="104"/>
      <c r="F21" s="107"/>
      <c r="G21" s="100"/>
    </row>
    <row r="22" spans="1:7" ht="15.75" customHeight="1" x14ac:dyDescent="0.2">
      <c r="A22" s="109"/>
      <c r="B22" s="100"/>
      <c r="C22" s="100"/>
      <c r="D22" s="99"/>
      <c r="E22" s="104"/>
      <c r="F22" s="107"/>
      <c r="G22" s="100"/>
    </row>
    <row r="23" spans="1:7" ht="15.75" customHeight="1" x14ac:dyDescent="0.2">
      <c r="A23" s="109"/>
      <c r="B23" s="100"/>
      <c r="C23" s="100"/>
      <c r="D23" s="99"/>
      <c r="E23" s="104"/>
      <c r="F23" s="107"/>
      <c r="G23" s="100"/>
    </row>
    <row r="24" spans="1:7" ht="15.75" customHeight="1" x14ac:dyDescent="0.2">
      <c r="A24" s="108"/>
      <c r="B24" s="100"/>
      <c r="C24" s="100"/>
      <c r="D24" s="99"/>
      <c r="E24" s="104"/>
      <c r="F24" s="107"/>
      <c r="G24" s="100"/>
    </row>
    <row r="25" spans="1:7" ht="15.75" customHeight="1" x14ac:dyDescent="0.2">
      <c r="A25" s="108"/>
      <c r="B25" s="100"/>
      <c r="C25" s="100"/>
      <c r="D25" s="99"/>
      <c r="E25" s="104"/>
      <c r="F25" s="107"/>
      <c r="G25" s="100"/>
    </row>
    <row r="26" spans="1:7" ht="15.75" customHeight="1" x14ac:dyDescent="0.2">
      <c r="A26" s="108"/>
      <c r="B26" s="100"/>
      <c r="C26" s="100"/>
      <c r="D26" s="99"/>
      <c r="E26" s="104"/>
      <c r="F26" s="107"/>
      <c r="G26" s="100"/>
    </row>
    <row r="27" spans="1:7" ht="15.75" customHeight="1" x14ac:dyDescent="0.2">
      <c r="A27" s="108"/>
      <c r="B27" s="100"/>
      <c r="C27" s="100"/>
      <c r="D27" s="99"/>
      <c r="E27" s="104"/>
      <c r="F27" s="107"/>
      <c r="G27" s="100"/>
    </row>
    <row r="28" spans="1:7" ht="15.75" customHeight="1" x14ac:dyDescent="0.2">
      <c r="A28" s="108"/>
      <c r="B28" s="100"/>
      <c r="C28" s="100"/>
      <c r="D28" s="99"/>
      <c r="E28" s="104"/>
      <c r="F28" s="107"/>
      <c r="G28" s="100"/>
    </row>
    <row r="29" spans="1:7" ht="15.75" customHeight="1" x14ac:dyDescent="0.2">
      <c r="A29" s="108"/>
      <c r="B29" s="100"/>
      <c r="C29" s="100"/>
      <c r="D29" s="99"/>
      <c r="E29" s="104"/>
      <c r="F29" s="107"/>
      <c r="G29" s="100"/>
    </row>
    <row r="30" spans="1:7" ht="30" customHeight="1" x14ac:dyDescent="0.2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 x14ac:dyDescent="0.2">
      <c r="A31" s="106"/>
      <c r="B31" s="100"/>
      <c r="C31" s="100"/>
      <c r="D31" s="99"/>
      <c r="E31" s="104"/>
      <c r="F31" s="107"/>
      <c r="G31" s="100"/>
    </row>
    <row r="32" spans="1:7" ht="15.75" customHeight="1" x14ac:dyDescent="0.2">
      <c r="A32" s="106"/>
      <c r="B32" s="100"/>
      <c r="C32" s="100"/>
      <c r="D32" s="99"/>
      <c r="E32" s="104"/>
      <c r="F32" s="107"/>
      <c r="G32" s="100"/>
    </row>
    <row r="33" spans="1:7" ht="15.75" customHeight="1" x14ac:dyDescent="0.2">
      <c r="A33" s="106"/>
      <c r="B33" s="100"/>
      <c r="C33" s="100"/>
      <c r="D33" s="99"/>
      <c r="E33" s="104"/>
      <c r="F33" s="107"/>
      <c r="G33" s="100"/>
    </row>
    <row r="34" spans="1:7" ht="15.75" customHeight="1" x14ac:dyDescent="0.2">
      <c r="A34" s="106"/>
      <c r="B34" s="100"/>
      <c r="C34" s="100"/>
      <c r="D34" s="99"/>
      <c r="E34" s="104"/>
      <c r="F34" s="107"/>
      <c r="G34" s="100"/>
    </row>
    <row r="35" spans="1:7" ht="15.75" customHeight="1" x14ac:dyDescent="0.2">
      <c r="A35" s="106"/>
      <c r="B35" s="100"/>
      <c r="C35" s="100"/>
      <c r="D35" s="99"/>
      <c r="E35" s="104"/>
      <c r="F35" s="107"/>
      <c r="G35" s="100"/>
    </row>
    <row r="36" spans="1:7" ht="15.75" customHeight="1" x14ac:dyDescent="0.2">
      <c r="A36" s="106"/>
      <c r="B36" s="100"/>
      <c r="C36" s="100"/>
      <c r="D36" s="99"/>
      <c r="E36" s="104"/>
      <c r="F36" s="107"/>
      <c r="G36" s="100"/>
    </row>
    <row r="37" spans="1:7" ht="15.75" customHeight="1" x14ac:dyDescent="0.2">
      <c r="A37" s="106"/>
      <c r="B37" s="100"/>
      <c r="C37" s="100"/>
      <c r="D37" s="99"/>
      <c r="E37" s="104"/>
      <c r="F37" s="107"/>
      <c r="G37" s="100"/>
    </row>
    <row r="38" spans="1:7" ht="15.75" customHeight="1" x14ac:dyDescent="0.2">
      <c r="A38" s="106"/>
      <c r="B38" s="100"/>
      <c r="C38" s="100"/>
      <c r="D38" s="99"/>
      <c r="E38" s="104"/>
      <c r="F38" s="107"/>
      <c r="G38" s="100"/>
    </row>
    <row r="39" spans="1:7" ht="15.75" customHeight="1" x14ac:dyDescent="0.2">
      <c r="A39" s="106"/>
      <c r="B39" s="100"/>
      <c r="C39" s="100"/>
      <c r="D39" s="99"/>
      <c r="E39" s="104"/>
      <c r="F39" s="107"/>
      <c r="G39" s="100"/>
    </row>
    <row r="40" spans="1:7" ht="15.75" customHeight="1" x14ac:dyDescent="0.2">
      <c r="A40" s="106"/>
      <c r="B40" s="100"/>
      <c r="C40" s="100"/>
      <c r="D40" s="99"/>
      <c r="E40" s="104"/>
      <c r="F40" s="107"/>
      <c r="G40" s="100"/>
    </row>
    <row r="41" spans="1:7" ht="15.75" customHeight="1" x14ac:dyDescent="0.2">
      <c r="A41" s="106"/>
      <c r="B41" s="100"/>
      <c r="C41" s="100"/>
      <c r="D41" s="99"/>
      <c r="E41" s="104"/>
      <c r="F41" s="107"/>
      <c r="G41" s="100"/>
    </row>
    <row r="42" spans="1:7" ht="15.75" customHeight="1" x14ac:dyDescent="0.2">
      <c r="A42" s="106"/>
      <c r="B42" s="100"/>
      <c r="C42" s="100"/>
      <c r="D42" s="99"/>
      <c r="E42" s="104"/>
      <c r="F42" s="107"/>
      <c r="G42" s="100"/>
    </row>
    <row r="43" spans="1:7" ht="15.75" customHeight="1" x14ac:dyDescent="0.2">
      <c r="A43" s="106"/>
      <c r="B43" s="100"/>
      <c r="C43" s="105"/>
      <c r="D43" s="99"/>
      <c r="E43" s="104"/>
      <c r="F43" s="103"/>
      <c r="G43" s="102"/>
    </row>
    <row r="44" spans="1:7" ht="15.75" customHeight="1" x14ac:dyDescent="0.2">
      <c r="A44" s="101"/>
      <c r="B44" s="100"/>
      <c r="C44" s="96"/>
      <c r="D44" s="99"/>
      <c r="E44" s="98"/>
      <c r="F44" s="97"/>
      <c r="G44" s="96"/>
    </row>
    <row r="45" spans="1:7" ht="15.75" customHeight="1" x14ac:dyDescent="0.2">
      <c r="A45" s="93"/>
      <c r="B45" s="93"/>
      <c r="C45" s="93"/>
      <c r="D45" s="93"/>
      <c r="E45" s="95"/>
      <c r="F45" s="93"/>
      <c r="G45" s="92"/>
    </row>
    <row r="46" spans="1:7" ht="15.75" customHeight="1" x14ac:dyDescent="0.2">
      <c r="A46" s="93"/>
      <c r="B46" s="93"/>
      <c r="C46" s="93"/>
      <c r="D46" s="93"/>
      <c r="E46" s="95"/>
      <c r="F46" s="93"/>
      <c r="G46" s="92"/>
    </row>
    <row r="47" spans="1:7" ht="15.75" customHeight="1" x14ac:dyDescent="0.2">
      <c r="A47" s="93"/>
      <c r="B47" s="93"/>
      <c r="C47" s="93"/>
      <c r="D47" s="93"/>
      <c r="E47" s="95"/>
      <c r="F47" s="93"/>
      <c r="G47" s="92"/>
    </row>
    <row r="48" spans="1:7" ht="15.75" customHeight="1" x14ac:dyDescent="0.2">
      <c r="A48" s="93"/>
      <c r="B48" s="93"/>
      <c r="C48" s="93"/>
      <c r="D48" s="93"/>
      <c r="E48" s="94"/>
      <c r="F48" s="93"/>
      <c r="G48" s="92"/>
    </row>
    <row r="49" spans="1:7" ht="15.75" customHeight="1" x14ac:dyDescent="0.2">
      <c r="A49" s="93"/>
      <c r="B49" s="93"/>
      <c r="C49" s="93"/>
      <c r="D49" s="93"/>
      <c r="E49" s="94"/>
      <c r="F49" s="93"/>
      <c r="G49" s="92"/>
    </row>
    <row r="50" spans="1:7" ht="15.75" customHeight="1" x14ac:dyDescent="0.2">
      <c r="A50" s="93"/>
      <c r="B50" s="93"/>
      <c r="C50" s="93"/>
      <c r="D50" s="93"/>
      <c r="E50" s="94"/>
      <c r="F50" s="93"/>
      <c r="G50" s="92"/>
    </row>
    <row r="51" spans="1:7" ht="15.75" customHeight="1" x14ac:dyDescent="0.2">
      <c r="A51" s="93"/>
      <c r="B51" s="93"/>
      <c r="C51" s="93"/>
      <c r="D51" s="93"/>
      <c r="E51" s="94"/>
      <c r="F51" s="93"/>
      <c r="G51" s="92"/>
    </row>
    <row r="52" spans="1:7" ht="15.75" customHeight="1" x14ac:dyDescent="0.2">
      <c r="A52" s="93"/>
      <c r="B52" s="93"/>
      <c r="C52" s="93"/>
      <c r="D52" s="93"/>
      <c r="E52" s="94"/>
      <c r="F52" s="93"/>
      <c r="G52" s="92"/>
    </row>
    <row r="53" spans="1:7" ht="15.75" customHeight="1" x14ac:dyDescent="0.2">
      <c r="A53" s="93"/>
      <c r="B53" s="93"/>
      <c r="C53" s="93"/>
      <c r="D53" s="93"/>
      <c r="E53" s="94"/>
      <c r="F53" s="93"/>
      <c r="G53" s="92"/>
    </row>
    <row r="54" spans="1:7" ht="15.75" customHeight="1" x14ac:dyDescent="0.2">
      <c r="A54" s="93"/>
      <c r="B54" s="93"/>
      <c r="C54" s="93"/>
      <c r="D54" s="93"/>
      <c r="E54" s="94"/>
      <c r="F54" s="93"/>
      <c r="G54" s="92"/>
    </row>
    <row r="55" spans="1:7" ht="15.75" customHeight="1" x14ac:dyDescent="0.2">
      <c r="A55" s="93"/>
      <c r="B55" s="93"/>
      <c r="C55" s="93"/>
      <c r="D55" s="93"/>
      <c r="E55" s="94"/>
      <c r="F55" s="93"/>
      <c r="G55" s="92"/>
    </row>
    <row r="56" spans="1:7" ht="15.75" customHeight="1" x14ac:dyDescent="0.2">
      <c r="A56" s="93"/>
      <c r="B56" s="93"/>
      <c r="C56" s="93"/>
      <c r="D56" s="93"/>
      <c r="E56" s="94"/>
      <c r="F56" s="93"/>
      <c r="G56" s="92"/>
    </row>
    <row r="57" spans="1:7" ht="15.75" customHeight="1" x14ac:dyDescent="0.2">
      <c r="A57" s="93"/>
      <c r="B57" s="93"/>
      <c r="C57" s="93"/>
      <c r="D57" s="93"/>
      <c r="E57" s="94"/>
      <c r="F57" s="93"/>
      <c r="G57" s="92"/>
    </row>
    <row r="58" spans="1:7" ht="15.75" customHeight="1" x14ac:dyDescent="0.2">
      <c r="A58" s="93"/>
      <c r="B58" s="93"/>
      <c r="C58" s="93"/>
      <c r="D58" s="93"/>
      <c r="E58" s="94"/>
      <c r="F58" s="93"/>
      <c r="G58" s="92"/>
    </row>
    <row r="59" spans="1:7" ht="15.75" customHeight="1" x14ac:dyDescent="0.2">
      <c r="A59" s="93"/>
      <c r="B59" s="93"/>
      <c r="C59" s="93"/>
      <c r="D59" s="93"/>
      <c r="E59" s="94"/>
      <c r="F59" s="93"/>
      <c r="G59" s="92"/>
    </row>
    <row r="60" spans="1:7" ht="15.75" customHeight="1" x14ac:dyDescent="0.2">
      <c r="A60" s="93"/>
      <c r="B60" s="93"/>
      <c r="C60" s="93"/>
      <c r="D60" s="93"/>
      <c r="E60" s="94"/>
      <c r="F60" s="93"/>
      <c r="G60" s="92"/>
    </row>
    <row r="61" spans="1:7" ht="15.75" customHeight="1" x14ac:dyDescent="0.2">
      <c r="A61" s="93"/>
      <c r="B61" s="93"/>
      <c r="C61" s="93"/>
      <c r="D61" s="93"/>
      <c r="E61" s="94"/>
      <c r="F61" s="93"/>
      <c r="G61" s="92"/>
    </row>
    <row r="62" spans="1:7" ht="15.75" customHeight="1" x14ac:dyDescent="0.2">
      <c r="A62" s="93"/>
      <c r="B62" s="93"/>
      <c r="C62" s="93"/>
      <c r="D62" s="93"/>
      <c r="E62" s="94"/>
      <c r="F62" s="93"/>
      <c r="G62" s="92"/>
    </row>
    <row r="63" spans="1:7" ht="15.75" customHeight="1" x14ac:dyDescent="0.2">
      <c r="A63" s="93"/>
      <c r="B63" s="93"/>
      <c r="C63" s="93"/>
      <c r="D63" s="93"/>
      <c r="E63" s="94"/>
      <c r="F63" s="93"/>
      <c r="G63" s="92"/>
    </row>
    <row r="64" spans="1:7" ht="15.75" customHeight="1" x14ac:dyDescent="0.2">
      <c r="A64" s="93"/>
      <c r="B64" s="93"/>
      <c r="C64" s="93"/>
      <c r="D64" s="93"/>
      <c r="E64" s="94"/>
      <c r="F64" s="93"/>
      <c r="G64" s="92"/>
    </row>
    <row r="65" spans="1:7" ht="15.75" customHeight="1" x14ac:dyDescent="0.2">
      <c r="A65" s="93"/>
      <c r="B65" s="93"/>
      <c r="C65" s="93"/>
      <c r="D65" s="93"/>
      <c r="E65" s="94"/>
      <c r="F65" s="93"/>
      <c r="G65" s="92"/>
    </row>
    <row r="66" spans="1:7" ht="15.75" customHeight="1" x14ac:dyDescent="0.2">
      <c r="A66" s="93"/>
      <c r="B66" s="93"/>
      <c r="C66" s="93"/>
      <c r="D66" s="93"/>
      <c r="E66" s="94"/>
      <c r="F66" s="93"/>
      <c r="G66" s="92"/>
    </row>
    <row r="67" spans="1:7" ht="15.75" customHeight="1" x14ac:dyDescent="0.2">
      <c r="A67" s="90"/>
      <c r="B67" s="90"/>
      <c r="C67" s="90"/>
      <c r="D67" s="90"/>
      <c r="E67" s="91"/>
      <c r="F67" s="90"/>
      <c r="G67" s="89"/>
    </row>
    <row r="68" spans="1:7" ht="15.75" customHeight="1" x14ac:dyDescent="0.2">
      <c r="A68" s="90"/>
      <c r="B68" s="90"/>
      <c r="C68" s="90"/>
      <c r="D68" s="90"/>
      <c r="E68" s="91"/>
      <c r="F68" s="90"/>
      <c r="G68" s="89"/>
    </row>
    <row r="69" spans="1:7" ht="15.75" customHeight="1" x14ac:dyDescent="0.2">
      <c r="A69" s="90"/>
      <c r="B69" s="90"/>
      <c r="C69" s="90"/>
      <c r="D69" s="90"/>
      <c r="E69" s="91"/>
      <c r="F69" s="90"/>
      <c r="G69" s="89"/>
    </row>
    <row r="70" spans="1:7" ht="15.75" customHeight="1" x14ac:dyDescent="0.2">
      <c r="A70" s="90"/>
      <c r="B70" s="90"/>
      <c r="C70" s="90"/>
      <c r="D70" s="90"/>
      <c r="E70" s="91"/>
      <c r="F70" s="90"/>
      <c r="G70" s="89"/>
    </row>
    <row r="71" spans="1:7" ht="15.75" customHeight="1" x14ac:dyDescent="0.2">
      <c r="A71" s="90"/>
      <c r="B71" s="90"/>
      <c r="C71" s="90"/>
      <c r="D71" s="90"/>
      <c r="E71" s="91"/>
      <c r="F71" s="90"/>
      <c r="G71" s="89"/>
    </row>
    <row r="72" spans="1:7" ht="15.75" customHeight="1" x14ac:dyDescent="0.2">
      <c r="A72" s="90"/>
      <c r="B72" s="90"/>
      <c r="C72" s="90"/>
      <c r="D72" s="90"/>
      <c r="E72" s="91"/>
      <c r="F72" s="90"/>
      <c r="G72" s="89"/>
    </row>
    <row r="73" spans="1:7" ht="15.75" customHeight="1" x14ac:dyDescent="0.2">
      <c r="A73" s="90"/>
      <c r="B73" s="90"/>
      <c r="C73" s="90"/>
      <c r="D73" s="90"/>
      <c r="E73" s="91"/>
      <c r="F73" s="90"/>
      <c r="G73" s="89"/>
    </row>
    <row r="74" spans="1:7" ht="15.75" customHeight="1" x14ac:dyDescent="0.2">
      <c r="A74" s="90"/>
      <c r="B74" s="90"/>
      <c r="C74" s="90"/>
      <c r="D74" s="90"/>
      <c r="E74" s="91"/>
      <c r="F74" s="90"/>
      <c r="G74" s="89"/>
    </row>
    <row r="75" spans="1:7" ht="15.75" customHeight="1" x14ac:dyDescent="0.2">
      <c r="A75" s="90"/>
      <c r="B75" s="90"/>
      <c r="C75" s="90"/>
      <c r="D75" s="90"/>
      <c r="E75" s="91"/>
      <c r="F75" s="90"/>
      <c r="G75" s="89"/>
    </row>
    <row r="76" spans="1:7" ht="15.75" customHeight="1" x14ac:dyDescent="0.2">
      <c r="A76" s="90"/>
      <c r="B76" s="90"/>
      <c r="C76" s="90"/>
      <c r="D76" s="90"/>
      <c r="E76" s="91"/>
      <c r="F76" s="90"/>
      <c r="G76" s="89"/>
    </row>
    <row r="77" spans="1:7" ht="15.75" customHeight="1" x14ac:dyDescent="0.2">
      <c r="A77" s="90"/>
      <c r="B77" s="90"/>
      <c r="C77" s="90"/>
      <c r="D77" s="90"/>
      <c r="E77" s="91"/>
      <c r="F77" s="90"/>
      <c r="G77" s="89"/>
    </row>
    <row r="78" spans="1:7" ht="15.75" customHeight="1" x14ac:dyDescent="0.2">
      <c r="A78" s="90"/>
      <c r="B78" s="90"/>
      <c r="C78" s="90"/>
      <c r="D78" s="90"/>
      <c r="E78" s="91"/>
      <c r="F78" s="90"/>
      <c r="G78" s="89"/>
    </row>
    <row r="79" spans="1:7" ht="15.75" customHeight="1" x14ac:dyDescent="0.2">
      <c r="A79" s="90"/>
      <c r="B79" s="90"/>
      <c r="C79" s="90"/>
      <c r="D79" s="90"/>
      <c r="E79" s="91"/>
      <c r="F79" s="90"/>
      <c r="G79" s="89"/>
    </row>
    <row r="80" spans="1:7" ht="15.75" customHeight="1" x14ac:dyDescent="0.2">
      <c r="A80" s="90"/>
      <c r="B80" s="90"/>
      <c r="C80" s="90"/>
      <c r="D80" s="90"/>
      <c r="E80" s="91"/>
      <c r="F80" s="90"/>
      <c r="G80" s="89"/>
    </row>
    <row r="81" spans="1:7" ht="15.75" customHeight="1" x14ac:dyDescent="0.2">
      <c r="A81" s="90"/>
      <c r="B81" s="90"/>
      <c r="C81" s="90"/>
      <c r="D81" s="90"/>
      <c r="E81" s="91"/>
      <c r="F81" s="90"/>
      <c r="G81" s="89"/>
    </row>
    <row r="82" spans="1:7" ht="15.75" customHeight="1" x14ac:dyDescent="0.2">
      <c r="A82" s="90"/>
      <c r="B82" s="90"/>
      <c r="C82" s="90"/>
      <c r="D82" s="90"/>
      <c r="E82" s="91"/>
      <c r="F82" s="90"/>
      <c r="G82" s="89"/>
    </row>
    <row r="83" spans="1:7" ht="15.75" customHeight="1" x14ac:dyDescent="0.2">
      <c r="A83" s="90"/>
      <c r="B83" s="90"/>
      <c r="C83" s="90"/>
      <c r="D83" s="90"/>
      <c r="E83" s="91"/>
      <c r="F83" s="90"/>
      <c r="G83" s="89"/>
    </row>
    <row r="84" spans="1:7" ht="15.75" customHeight="1" x14ac:dyDescent="0.2">
      <c r="A84" s="90"/>
      <c r="B84" s="90"/>
      <c r="C84" s="90"/>
      <c r="D84" s="90"/>
      <c r="E84" s="91"/>
      <c r="F84" s="90"/>
      <c r="G84" s="89"/>
    </row>
    <row r="85" spans="1:7" ht="15.75" customHeight="1" x14ac:dyDescent="0.2">
      <c r="A85" s="90"/>
      <c r="B85" s="90"/>
      <c r="C85" s="90"/>
      <c r="D85" s="90"/>
      <c r="E85" s="91"/>
      <c r="F85" s="90"/>
      <c r="G85" s="89"/>
    </row>
    <row r="86" spans="1:7" ht="15.75" customHeight="1" x14ac:dyDescent="0.2">
      <c r="A86" s="90"/>
      <c r="B86" s="90"/>
      <c r="C86" s="90"/>
      <c r="D86" s="90"/>
      <c r="E86" s="91"/>
      <c r="F86" s="90"/>
      <c r="G86" s="89"/>
    </row>
    <row r="87" spans="1:7" ht="15.75" customHeight="1" x14ac:dyDescent="0.2">
      <c r="A87" s="90"/>
      <c r="B87" s="90"/>
      <c r="C87" s="90"/>
      <c r="D87" s="90"/>
      <c r="E87" s="91"/>
      <c r="F87" s="90"/>
      <c r="G87" s="89"/>
    </row>
    <row r="88" spans="1:7" ht="15.75" customHeight="1" x14ac:dyDescent="0.2">
      <c r="A88" s="90"/>
      <c r="B88" s="90"/>
      <c r="C88" s="90"/>
      <c r="D88" s="90"/>
      <c r="E88" s="91"/>
      <c r="F88" s="90"/>
      <c r="G88" s="89"/>
    </row>
    <row r="89" spans="1:7" ht="15.75" customHeight="1" x14ac:dyDescent="0.2">
      <c r="A89" s="90"/>
      <c r="B89" s="90"/>
      <c r="C89" s="90"/>
      <c r="D89" s="90"/>
      <c r="E89" s="91"/>
      <c r="F89" s="90"/>
      <c r="G89" s="89"/>
    </row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G1"/>
    <mergeCell ref="B2:G4"/>
    <mergeCell ref="A5:G6"/>
  </mergeCells>
  <dataValidations count="1">
    <dataValidation type="list" allowBlank="1" showErrorMessage="1" sqref="F8:G66" xr:uid="{B8FF686B-7899-4030-BC1E-A5FE62FAF8C3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38C0-9812-4E05-8F2A-D7138FFD6AD4}">
  <dimension ref="A1:K148"/>
  <sheetViews>
    <sheetView topLeftCell="A126" workbookViewId="0">
      <selection activeCell="A141" sqref="A141"/>
    </sheetView>
  </sheetViews>
  <sheetFormatPr baseColWidth="10" defaultColWidth="11" defaultRowHeight="15.75" x14ac:dyDescent="0.25"/>
  <cols>
    <col min="1" max="1" width="29" customWidth="1"/>
    <col min="5" max="5" width="17.875" bestFit="1" customWidth="1"/>
    <col min="7" max="7" width="26.125" customWidth="1"/>
  </cols>
  <sheetData>
    <row r="1" spans="1:11" x14ac:dyDescent="0.25">
      <c r="A1" s="209"/>
      <c r="B1" s="209"/>
      <c r="C1" s="209"/>
      <c r="D1" s="209"/>
      <c r="E1" s="209"/>
      <c r="F1" s="209"/>
      <c r="G1" s="209"/>
      <c r="H1" s="210"/>
      <c r="I1" s="209"/>
      <c r="J1" s="211"/>
      <c r="K1" s="211"/>
    </row>
    <row r="2" spans="1:11" ht="18.75" x14ac:dyDescent="0.25">
      <c r="A2" s="399" t="s">
        <v>154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1" x14ac:dyDescent="0.25">
      <c r="A3" s="212"/>
      <c r="B3" s="212"/>
      <c r="C3" s="212"/>
      <c r="D3" s="212"/>
      <c r="E3" s="212"/>
      <c r="F3" s="212"/>
      <c r="G3" s="212"/>
      <c r="H3" s="213"/>
      <c r="I3" s="212"/>
      <c r="J3" s="120"/>
      <c r="K3" s="120"/>
    </row>
    <row r="4" spans="1:11" x14ac:dyDescent="0.25">
      <c r="A4" s="120"/>
      <c r="B4" s="120"/>
      <c r="C4" s="120"/>
      <c r="D4" s="120"/>
      <c r="E4" s="120"/>
      <c r="F4" s="120"/>
      <c r="G4" s="120"/>
      <c r="H4" s="121"/>
      <c r="I4" s="120"/>
      <c r="J4" s="120"/>
      <c r="K4" s="120"/>
    </row>
    <row r="5" spans="1:11" x14ac:dyDescent="0.25">
      <c r="A5" s="123" t="s">
        <v>155</v>
      </c>
      <c r="B5" s="120"/>
      <c r="C5" s="120"/>
      <c r="D5" s="120"/>
      <c r="E5" s="120"/>
      <c r="F5" s="120"/>
      <c r="G5" s="120"/>
      <c r="H5" s="121"/>
      <c r="I5" s="214"/>
      <c r="J5" s="215"/>
      <c r="K5" s="215"/>
    </row>
    <row r="6" spans="1:11" x14ac:dyDescent="0.25">
      <c r="A6" s="120"/>
      <c r="B6" s="120"/>
      <c r="C6" s="120"/>
      <c r="D6" s="120"/>
      <c r="E6" s="120"/>
      <c r="F6" s="120"/>
      <c r="G6" s="120"/>
      <c r="H6" s="121"/>
      <c r="I6" s="214"/>
      <c r="J6" s="215"/>
      <c r="K6" s="215"/>
    </row>
    <row r="7" spans="1:11" ht="37.5" customHeight="1" x14ac:dyDescent="0.25">
      <c r="A7" s="430" t="s">
        <v>156</v>
      </c>
      <c r="B7" s="431"/>
      <c r="C7" s="124">
        <v>8</v>
      </c>
      <c r="D7" s="120"/>
      <c r="E7" s="120"/>
      <c r="F7" s="120"/>
      <c r="G7" s="120"/>
      <c r="H7" s="121"/>
      <c r="I7" s="125"/>
      <c r="J7" s="125"/>
      <c r="K7" s="125"/>
    </row>
    <row r="8" spans="1:11" x14ac:dyDescent="0.25">
      <c r="A8" s="216"/>
      <c r="B8" s="120"/>
      <c r="C8" s="217"/>
      <c r="D8" s="120"/>
      <c r="E8" s="120"/>
      <c r="F8" s="120"/>
      <c r="G8" s="120"/>
      <c r="H8" s="121"/>
      <c r="I8" s="125"/>
      <c r="J8" s="125"/>
      <c r="K8" s="225"/>
    </row>
    <row r="9" spans="1:11" ht="51" customHeight="1" x14ac:dyDescent="0.25">
      <c r="A9" s="432" t="s">
        <v>157</v>
      </c>
      <c r="B9" s="433"/>
      <c r="C9" s="433"/>
      <c r="D9" s="433"/>
      <c r="E9" s="122"/>
      <c r="F9" s="122"/>
      <c r="G9" s="434" t="s">
        <v>158</v>
      </c>
      <c r="H9" s="435"/>
      <c r="I9" s="436"/>
      <c r="J9" s="125"/>
      <c r="K9" s="226"/>
    </row>
    <row r="10" spans="1:11" x14ac:dyDescent="0.25">
      <c r="A10" s="126" t="s">
        <v>159</v>
      </c>
      <c r="B10" s="126" t="s">
        <v>160</v>
      </c>
      <c r="C10" s="126" t="s">
        <v>161</v>
      </c>
      <c r="D10" s="126" t="s">
        <v>162</v>
      </c>
      <c r="E10" s="122"/>
      <c r="F10" s="122"/>
      <c r="G10" s="126" t="s">
        <v>160</v>
      </c>
      <c r="H10" s="126" t="s">
        <v>161</v>
      </c>
      <c r="I10" s="126" t="s">
        <v>162</v>
      </c>
      <c r="J10" s="125"/>
      <c r="K10" s="226"/>
    </row>
    <row r="11" spans="1:11" x14ac:dyDescent="0.25">
      <c r="A11" s="127" t="s">
        <v>163</v>
      </c>
      <c r="B11" s="128" t="s">
        <v>164</v>
      </c>
      <c r="C11" s="128"/>
      <c r="D11" s="128"/>
      <c r="E11" s="122"/>
      <c r="F11" s="122"/>
      <c r="G11" s="127" t="s">
        <v>163</v>
      </c>
      <c r="H11" s="128" t="s">
        <v>164</v>
      </c>
      <c r="I11" s="128"/>
      <c r="J11" s="125"/>
      <c r="K11" s="226"/>
    </row>
    <row r="12" spans="1:11" x14ac:dyDescent="0.25">
      <c r="A12" s="216"/>
      <c r="B12" s="120"/>
      <c r="C12" s="217"/>
      <c r="D12" s="120"/>
      <c r="E12" s="122"/>
      <c r="F12" s="122"/>
      <c r="G12" s="122"/>
      <c r="H12" s="121"/>
      <c r="I12" s="125"/>
      <c r="J12" s="125"/>
      <c r="K12" s="125"/>
    </row>
    <row r="13" spans="1:11" x14ac:dyDescent="0.25">
      <c r="A13" s="216"/>
      <c r="B13" s="120"/>
      <c r="C13" s="217"/>
      <c r="D13" s="120"/>
      <c r="E13" s="120"/>
      <c r="F13" s="120"/>
      <c r="G13" s="120"/>
      <c r="H13" s="121"/>
      <c r="I13" s="125"/>
      <c r="J13" s="125"/>
      <c r="K13" s="125"/>
    </row>
    <row r="14" spans="1:11" x14ac:dyDescent="0.25">
      <c r="A14" s="123" t="s">
        <v>48</v>
      </c>
      <c r="B14" s="122"/>
      <c r="C14" s="120"/>
      <c r="D14" s="217"/>
      <c r="E14" s="120"/>
      <c r="F14" s="120"/>
      <c r="G14" s="123" t="s">
        <v>49</v>
      </c>
      <c r="H14" s="120"/>
      <c r="I14" s="121"/>
      <c r="J14" s="125"/>
      <c r="K14" s="125"/>
    </row>
    <row r="15" spans="1:11" x14ac:dyDescent="0.25">
      <c r="A15" s="120"/>
      <c r="B15" s="216"/>
      <c r="C15" s="120"/>
      <c r="D15" s="217"/>
      <c r="E15" s="120"/>
      <c r="F15" s="120"/>
      <c r="G15" s="120"/>
      <c r="H15" s="120"/>
      <c r="I15" s="121"/>
      <c r="J15" s="125"/>
      <c r="K15" s="125"/>
    </row>
    <row r="16" spans="1:11" x14ac:dyDescent="0.25">
      <c r="A16" s="437" t="s">
        <v>165</v>
      </c>
      <c r="B16" s="438"/>
      <c r="C16" s="438"/>
      <c r="D16" s="438"/>
      <c r="E16" s="439"/>
      <c r="F16" s="120"/>
      <c r="G16" s="437" t="s">
        <v>166</v>
      </c>
      <c r="H16" s="438"/>
      <c r="I16" s="438"/>
      <c r="J16" s="438"/>
      <c r="K16" s="439"/>
    </row>
    <row r="17" spans="1:11" x14ac:dyDescent="0.25">
      <c r="A17" s="129"/>
      <c r="B17" s="129" t="s">
        <v>87</v>
      </c>
      <c r="C17" s="129" t="s">
        <v>161</v>
      </c>
      <c r="D17" s="129" t="s">
        <v>167</v>
      </c>
      <c r="E17" s="129" t="s">
        <v>168</v>
      </c>
      <c r="F17" s="120"/>
      <c r="G17" s="129"/>
      <c r="H17" s="129" t="s">
        <v>87</v>
      </c>
      <c r="I17" s="129" t="s">
        <v>161</v>
      </c>
      <c r="J17" s="129" t="s">
        <v>167</v>
      </c>
      <c r="K17" s="129" t="s">
        <v>51</v>
      </c>
    </row>
    <row r="18" spans="1:11" ht="15.75" customHeight="1" x14ac:dyDescent="0.25">
      <c r="A18" s="130" t="s">
        <v>169</v>
      </c>
      <c r="B18" s="180" t="s">
        <v>164</v>
      </c>
      <c r="C18" s="391"/>
      <c r="D18" s="391"/>
      <c r="E18" s="181">
        <v>1</v>
      </c>
      <c r="F18" s="120"/>
      <c r="G18" s="130" t="s">
        <v>169</v>
      </c>
      <c r="H18" s="180" t="s">
        <v>164</v>
      </c>
      <c r="I18" s="391"/>
      <c r="J18" s="391"/>
      <c r="K18" s="181">
        <v>1</v>
      </c>
    </row>
    <row r="19" spans="1:11" ht="16.5" customHeight="1" x14ac:dyDescent="0.25">
      <c r="A19" s="130" t="s">
        <v>170</v>
      </c>
      <c r="B19" s="180" t="s">
        <v>164</v>
      </c>
      <c r="C19" s="391"/>
      <c r="D19" s="391"/>
      <c r="E19" s="181">
        <v>1</v>
      </c>
      <c r="F19" s="120"/>
      <c r="G19" s="130" t="s">
        <v>170</v>
      </c>
      <c r="H19" s="180" t="s">
        <v>164</v>
      </c>
      <c r="I19" s="391"/>
      <c r="J19" s="391"/>
      <c r="K19" s="181">
        <v>1</v>
      </c>
    </row>
    <row r="20" spans="1:11" ht="17.25" customHeight="1" x14ac:dyDescent="0.25">
      <c r="A20" s="130" t="s">
        <v>171</v>
      </c>
      <c r="B20" s="180" t="s">
        <v>164</v>
      </c>
      <c r="C20" s="391"/>
      <c r="D20" s="391"/>
      <c r="E20" s="181">
        <v>1</v>
      </c>
      <c r="F20" s="120"/>
      <c r="G20" s="130" t="s">
        <v>171</v>
      </c>
      <c r="H20" s="180" t="s">
        <v>164</v>
      </c>
      <c r="I20" s="391"/>
      <c r="J20" s="391"/>
      <c r="K20" s="181">
        <v>1</v>
      </c>
    </row>
    <row r="21" spans="1:11" ht="18" customHeight="1" x14ac:dyDescent="0.25">
      <c r="A21" s="130" t="s">
        <v>172</v>
      </c>
      <c r="B21" s="180" t="s">
        <v>164</v>
      </c>
      <c r="C21" s="391"/>
      <c r="D21" s="391"/>
      <c r="E21" s="181">
        <v>1</v>
      </c>
      <c r="F21" s="120"/>
      <c r="G21" s="130" t="s">
        <v>172</v>
      </c>
      <c r="H21" s="180" t="s">
        <v>164</v>
      </c>
      <c r="I21" s="391"/>
      <c r="J21" s="391"/>
      <c r="K21" s="181">
        <v>1</v>
      </c>
    </row>
    <row r="22" spans="1:11" ht="14.25" customHeight="1" x14ac:dyDescent="0.25">
      <c r="A22" s="130" t="s">
        <v>96</v>
      </c>
      <c r="B22" s="180" t="s">
        <v>164</v>
      </c>
      <c r="C22" s="391"/>
      <c r="D22" s="391"/>
      <c r="E22" s="181">
        <v>1</v>
      </c>
      <c r="F22" s="120"/>
      <c r="G22" s="130" t="s">
        <v>96</v>
      </c>
      <c r="H22" s="180" t="s">
        <v>164</v>
      </c>
      <c r="I22" s="391"/>
      <c r="J22" s="391"/>
      <c r="K22" s="181">
        <v>1</v>
      </c>
    </row>
    <row r="23" spans="1:11" ht="21" customHeight="1" x14ac:dyDescent="0.25">
      <c r="A23" s="130" t="s">
        <v>173</v>
      </c>
      <c r="B23" s="180" t="s">
        <v>164</v>
      </c>
      <c r="C23" s="391"/>
      <c r="D23" s="391"/>
      <c r="E23" s="181">
        <v>1</v>
      </c>
      <c r="F23" s="120"/>
      <c r="G23" s="130" t="s">
        <v>173</v>
      </c>
      <c r="H23" s="180" t="s">
        <v>164</v>
      </c>
      <c r="I23" s="391"/>
      <c r="J23" s="391"/>
      <c r="K23" s="181">
        <v>1</v>
      </c>
    </row>
    <row r="24" spans="1:11" ht="18" customHeight="1" x14ac:dyDescent="0.25">
      <c r="A24" s="130" t="s">
        <v>174</v>
      </c>
      <c r="B24" s="180" t="s">
        <v>164</v>
      </c>
      <c r="C24" s="391"/>
      <c r="D24" s="391"/>
      <c r="E24" s="181">
        <v>1</v>
      </c>
      <c r="F24" s="120"/>
      <c r="G24" s="130" t="s">
        <v>174</v>
      </c>
      <c r="H24" s="180" t="s">
        <v>164</v>
      </c>
      <c r="I24" s="391"/>
      <c r="J24" s="391"/>
      <c r="K24" s="181">
        <v>1</v>
      </c>
    </row>
    <row r="25" spans="1:11" ht="20.25" customHeight="1" x14ac:dyDescent="0.25">
      <c r="A25" s="130" t="s">
        <v>175</v>
      </c>
      <c r="B25" s="180" t="s">
        <v>164</v>
      </c>
      <c r="C25" s="391"/>
      <c r="D25" s="391"/>
      <c r="E25" s="181">
        <v>1</v>
      </c>
      <c r="F25" s="120"/>
      <c r="G25" s="130" t="s">
        <v>175</v>
      </c>
      <c r="H25" s="180" t="s">
        <v>164</v>
      </c>
      <c r="I25" s="391"/>
      <c r="J25" s="391"/>
      <c r="K25" s="181">
        <v>1</v>
      </c>
    </row>
    <row r="26" spans="1:11" ht="22.5" customHeight="1" x14ac:dyDescent="0.25">
      <c r="A26" s="130" t="s">
        <v>176</v>
      </c>
      <c r="B26" s="180" t="s">
        <v>164</v>
      </c>
      <c r="C26" s="391"/>
      <c r="D26" s="391"/>
      <c r="E26" s="181">
        <v>1</v>
      </c>
      <c r="F26" s="120"/>
      <c r="G26" s="130" t="s">
        <v>176</v>
      </c>
      <c r="H26" s="180" t="s">
        <v>164</v>
      </c>
      <c r="I26" s="391"/>
      <c r="J26" s="391"/>
      <c r="K26" s="181">
        <v>1</v>
      </c>
    </row>
    <row r="27" spans="1:11" ht="19.5" customHeight="1" x14ac:dyDescent="0.25">
      <c r="A27" s="130" t="s">
        <v>177</v>
      </c>
      <c r="B27" s="180" t="s">
        <v>164</v>
      </c>
      <c r="C27" s="391"/>
      <c r="D27" s="391"/>
      <c r="E27" s="181">
        <v>1</v>
      </c>
      <c r="F27" s="120"/>
      <c r="G27" s="130" t="s">
        <v>177</v>
      </c>
      <c r="H27" s="180" t="s">
        <v>164</v>
      </c>
      <c r="I27" s="391"/>
      <c r="J27" s="391"/>
      <c r="K27" s="181">
        <v>1</v>
      </c>
    </row>
    <row r="28" spans="1:11" ht="28.5" customHeight="1" x14ac:dyDescent="0.25">
      <c r="A28" s="130" t="s">
        <v>178</v>
      </c>
      <c r="B28" s="180" t="s">
        <v>164</v>
      </c>
      <c r="C28" s="180"/>
      <c r="D28" s="180"/>
      <c r="E28" s="181">
        <v>1</v>
      </c>
      <c r="F28" s="120"/>
      <c r="G28" s="130" t="s">
        <v>178</v>
      </c>
      <c r="H28" s="180" t="s">
        <v>164</v>
      </c>
      <c r="I28" s="180"/>
      <c r="J28" s="180"/>
      <c r="K28" s="181">
        <v>1</v>
      </c>
    </row>
    <row r="29" spans="1:11" ht="30" customHeight="1" x14ac:dyDescent="0.25">
      <c r="A29" s="130" t="s">
        <v>111</v>
      </c>
      <c r="B29" s="180" t="s">
        <v>164</v>
      </c>
      <c r="C29" s="180"/>
      <c r="D29" s="180"/>
      <c r="E29" s="181">
        <v>1</v>
      </c>
      <c r="F29" s="120"/>
      <c r="G29" s="130" t="s">
        <v>111</v>
      </c>
      <c r="H29" s="180" t="s">
        <v>164</v>
      </c>
      <c r="I29" s="180"/>
      <c r="J29" s="180"/>
      <c r="K29" s="181">
        <v>1</v>
      </c>
    </row>
    <row r="30" spans="1:11" x14ac:dyDescent="0.25">
      <c r="A30" s="130" t="s">
        <v>115</v>
      </c>
      <c r="B30" s="180" t="s">
        <v>164</v>
      </c>
      <c r="C30" s="180"/>
      <c r="D30" s="180"/>
      <c r="E30" s="181">
        <v>1</v>
      </c>
      <c r="F30" s="120"/>
      <c r="G30" s="130" t="s">
        <v>115</v>
      </c>
      <c r="H30" s="180" t="s">
        <v>164</v>
      </c>
      <c r="I30" s="180"/>
      <c r="J30" s="180"/>
      <c r="K30" s="181">
        <v>1</v>
      </c>
    </row>
    <row r="31" spans="1:11" ht="25.5" x14ac:dyDescent="0.25">
      <c r="A31" s="130" t="s">
        <v>117</v>
      </c>
      <c r="B31" s="180" t="s">
        <v>164</v>
      </c>
      <c r="C31" s="180"/>
      <c r="D31" s="180"/>
      <c r="E31" s="181">
        <v>1</v>
      </c>
      <c r="F31" s="120"/>
      <c r="G31" s="130" t="s">
        <v>117</v>
      </c>
      <c r="H31" s="180" t="s">
        <v>164</v>
      </c>
      <c r="I31" s="180"/>
      <c r="J31" s="180"/>
      <c r="K31" s="181">
        <v>1</v>
      </c>
    </row>
    <row r="32" spans="1:11" x14ac:dyDescent="0.25">
      <c r="A32" s="130" t="s">
        <v>119</v>
      </c>
      <c r="B32" s="180" t="s">
        <v>164</v>
      </c>
      <c r="C32" s="180"/>
      <c r="D32" s="180"/>
      <c r="E32" s="181">
        <v>1</v>
      </c>
      <c r="F32" s="120"/>
      <c r="G32" s="130" t="s">
        <v>119</v>
      </c>
      <c r="H32" s="180" t="s">
        <v>164</v>
      </c>
      <c r="I32" s="180"/>
      <c r="J32" s="180"/>
      <c r="K32" s="181">
        <v>1</v>
      </c>
    </row>
    <row r="33" spans="1:11" x14ac:dyDescent="0.25">
      <c r="A33" s="262" t="s">
        <v>179</v>
      </c>
      <c r="B33" s="180" t="s">
        <v>164</v>
      </c>
      <c r="C33" s="180"/>
      <c r="D33" s="180"/>
      <c r="E33" s="181">
        <v>1</v>
      </c>
      <c r="F33" s="120"/>
      <c r="G33" s="262" t="s">
        <v>179</v>
      </c>
      <c r="H33" s="180" t="s">
        <v>164</v>
      </c>
      <c r="I33" s="180"/>
      <c r="J33" s="180"/>
      <c r="K33" s="181">
        <v>1</v>
      </c>
    </row>
    <row r="34" spans="1:11" x14ac:dyDescent="0.25">
      <c r="A34" s="263" t="s">
        <v>123</v>
      </c>
      <c r="B34" s="180" t="s">
        <v>164</v>
      </c>
      <c r="C34" s="180"/>
      <c r="D34" s="180"/>
      <c r="E34" s="181">
        <v>1</v>
      </c>
      <c r="F34" s="131"/>
      <c r="G34" s="263" t="s">
        <v>123</v>
      </c>
      <c r="H34" s="180" t="s">
        <v>164</v>
      </c>
      <c r="I34" s="180"/>
      <c r="J34" s="180"/>
      <c r="K34" s="181">
        <v>1</v>
      </c>
    </row>
    <row r="35" spans="1:11" x14ac:dyDescent="0.25">
      <c r="A35" s="262" t="s">
        <v>125</v>
      </c>
      <c r="B35" s="180" t="s">
        <v>164</v>
      </c>
      <c r="C35" s="180"/>
      <c r="D35" s="180"/>
      <c r="E35" s="181">
        <v>1</v>
      </c>
      <c r="F35" s="131"/>
      <c r="G35" s="262" t="s">
        <v>125</v>
      </c>
      <c r="H35" s="180" t="s">
        <v>164</v>
      </c>
      <c r="I35" s="180"/>
      <c r="J35" s="180"/>
      <c r="K35" s="181">
        <v>1</v>
      </c>
    </row>
    <row r="36" spans="1:11" x14ac:dyDescent="0.25">
      <c r="A36" s="263" t="s">
        <v>127</v>
      </c>
      <c r="B36" s="180" t="s">
        <v>164</v>
      </c>
      <c r="C36" s="180"/>
      <c r="D36" s="180"/>
      <c r="E36" s="181">
        <v>1</v>
      </c>
      <c r="F36" s="131"/>
      <c r="G36" s="263" t="s">
        <v>127</v>
      </c>
      <c r="H36" s="180" t="s">
        <v>164</v>
      </c>
      <c r="I36" s="180"/>
      <c r="J36" s="180"/>
      <c r="K36" s="181">
        <v>1</v>
      </c>
    </row>
    <row r="37" spans="1:11" x14ac:dyDescent="0.25">
      <c r="A37" s="262" t="s">
        <v>129</v>
      </c>
      <c r="B37" s="180" t="s">
        <v>164</v>
      </c>
      <c r="C37" s="180"/>
      <c r="D37" s="180"/>
      <c r="E37" s="181">
        <v>1</v>
      </c>
      <c r="F37" s="131"/>
      <c r="G37" s="262" t="s">
        <v>129</v>
      </c>
      <c r="H37" s="180" t="s">
        <v>164</v>
      </c>
      <c r="I37" s="180"/>
      <c r="J37" s="180"/>
      <c r="K37" s="181">
        <v>1</v>
      </c>
    </row>
    <row r="38" spans="1:11" ht="15.75" customHeight="1" x14ac:dyDescent="0.25">
      <c r="A38" s="130" t="s">
        <v>131</v>
      </c>
      <c r="B38" s="180" t="s">
        <v>164</v>
      </c>
      <c r="C38" s="180"/>
      <c r="D38" s="180"/>
      <c r="E38" s="181">
        <v>1</v>
      </c>
      <c r="F38" s="120"/>
      <c r="G38" s="130" t="s">
        <v>131</v>
      </c>
      <c r="H38" s="180" t="s">
        <v>164</v>
      </c>
      <c r="I38" s="180"/>
      <c r="J38" s="180"/>
      <c r="K38" s="181">
        <v>1</v>
      </c>
    </row>
    <row r="39" spans="1:11" ht="15.75" customHeight="1" x14ac:dyDescent="0.25">
      <c r="A39" s="130" t="s">
        <v>133</v>
      </c>
      <c r="B39" s="180" t="s">
        <v>164</v>
      </c>
      <c r="C39" s="180"/>
      <c r="D39" s="180"/>
      <c r="E39" s="181">
        <v>1</v>
      </c>
      <c r="F39" s="120"/>
      <c r="G39" s="130" t="s">
        <v>133</v>
      </c>
      <c r="H39" s="180" t="s">
        <v>164</v>
      </c>
      <c r="I39" s="180"/>
      <c r="J39" s="180"/>
      <c r="K39" s="181">
        <v>1</v>
      </c>
    </row>
    <row r="40" spans="1:11" x14ac:dyDescent="0.25">
      <c r="A40" s="130" t="s">
        <v>135</v>
      </c>
      <c r="B40" s="180" t="s">
        <v>164</v>
      </c>
      <c r="C40" s="180"/>
      <c r="D40" s="180"/>
      <c r="E40" s="181">
        <v>1</v>
      </c>
      <c r="F40" s="120"/>
      <c r="G40" s="130" t="s">
        <v>135</v>
      </c>
      <c r="H40" s="180" t="s">
        <v>164</v>
      </c>
      <c r="I40" s="180"/>
      <c r="J40" s="180"/>
      <c r="K40" s="181">
        <v>1</v>
      </c>
    </row>
    <row r="41" spans="1:11" ht="25.5" x14ac:dyDescent="0.25">
      <c r="A41" s="130" t="s">
        <v>137</v>
      </c>
      <c r="B41" s="180" t="s">
        <v>164</v>
      </c>
      <c r="C41" s="180"/>
      <c r="D41" s="180"/>
      <c r="E41" s="181">
        <v>1</v>
      </c>
      <c r="F41" s="120"/>
      <c r="G41" s="130" t="s">
        <v>137</v>
      </c>
      <c r="H41" s="180" t="s">
        <v>164</v>
      </c>
      <c r="I41" s="180"/>
      <c r="J41" s="180"/>
      <c r="K41" s="181">
        <v>1</v>
      </c>
    </row>
    <row r="42" spans="1:11" x14ac:dyDescent="0.25">
      <c r="A42" s="130" t="s">
        <v>169</v>
      </c>
      <c r="B42" s="180" t="s">
        <v>164</v>
      </c>
      <c r="C42" s="180"/>
      <c r="D42" s="180"/>
      <c r="E42" s="181">
        <v>1</v>
      </c>
      <c r="F42" s="120"/>
      <c r="G42" s="130" t="s">
        <v>169</v>
      </c>
      <c r="H42" s="180" t="s">
        <v>164</v>
      </c>
      <c r="I42" s="180"/>
      <c r="J42" s="180"/>
      <c r="K42" s="181">
        <v>1</v>
      </c>
    </row>
    <row r="43" spans="1:11" x14ac:dyDescent="0.25">
      <c r="A43" s="130" t="s">
        <v>170</v>
      </c>
      <c r="B43" s="180" t="s">
        <v>164</v>
      </c>
      <c r="C43" s="180"/>
      <c r="D43" s="180"/>
      <c r="E43" s="181">
        <v>1</v>
      </c>
      <c r="F43" s="120"/>
      <c r="G43" s="130" t="s">
        <v>170</v>
      </c>
      <c r="H43" s="180" t="s">
        <v>164</v>
      </c>
      <c r="I43" s="180"/>
      <c r="J43" s="180"/>
      <c r="K43" s="181">
        <v>1</v>
      </c>
    </row>
    <row r="44" spans="1:11" x14ac:dyDescent="0.25">
      <c r="A44" s="130" t="s">
        <v>171</v>
      </c>
      <c r="B44" s="180" t="s">
        <v>164</v>
      </c>
      <c r="C44" s="180"/>
      <c r="D44" s="180"/>
      <c r="E44" s="181">
        <v>1</v>
      </c>
      <c r="F44" s="131"/>
      <c r="G44" s="130" t="s">
        <v>171</v>
      </c>
      <c r="H44" s="180" t="s">
        <v>164</v>
      </c>
      <c r="I44" s="180"/>
      <c r="J44" s="180"/>
      <c r="K44" s="181">
        <v>1</v>
      </c>
    </row>
    <row r="45" spans="1:11" x14ac:dyDescent="0.25">
      <c r="A45" s="130" t="s">
        <v>172</v>
      </c>
      <c r="B45" s="180" t="s">
        <v>164</v>
      </c>
      <c r="C45" s="180"/>
      <c r="D45" s="180"/>
      <c r="E45" s="181">
        <v>1</v>
      </c>
      <c r="F45" s="131"/>
      <c r="G45" s="130" t="s">
        <v>172</v>
      </c>
      <c r="H45" s="180" t="s">
        <v>164</v>
      </c>
      <c r="I45" s="180"/>
      <c r="J45" s="180"/>
      <c r="K45" s="181">
        <v>1</v>
      </c>
    </row>
    <row r="46" spans="1:11" x14ac:dyDescent="0.25">
      <c r="A46" s="130" t="s">
        <v>96</v>
      </c>
      <c r="B46" s="180" t="s">
        <v>164</v>
      </c>
      <c r="C46" s="180"/>
      <c r="D46" s="180"/>
      <c r="E46" s="181">
        <v>1</v>
      </c>
      <c r="F46" s="131"/>
      <c r="G46" s="130" t="s">
        <v>96</v>
      </c>
      <c r="H46" s="180" t="s">
        <v>164</v>
      </c>
      <c r="I46" s="180"/>
      <c r="J46" s="180"/>
      <c r="K46" s="181">
        <v>1</v>
      </c>
    </row>
    <row r="47" spans="1:11" x14ac:dyDescent="0.25">
      <c r="A47" s="130" t="s">
        <v>175</v>
      </c>
      <c r="B47" s="180" t="s">
        <v>164</v>
      </c>
      <c r="C47" s="180"/>
      <c r="D47" s="180"/>
      <c r="E47" s="181">
        <v>1</v>
      </c>
      <c r="F47" s="131"/>
      <c r="G47" s="130" t="s">
        <v>175</v>
      </c>
      <c r="H47" s="180" t="s">
        <v>164</v>
      </c>
      <c r="I47" s="180"/>
      <c r="J47" s="180"/>
      <c r="K47" s="181">
        <v>1</v>
      </c>
    </row>
    <row r="48" spans="1:11" x14ac:dyDescent="0.25">
      <c r="A48" s="130" t="s">
        <v>176</v>
      </c>
      <c r="B48" s="180" t="s">
        <v>164</v>
      </c>
      <c r="C48" s="180"/>
      <c r="D48" s="180"/>
      <c r="E48" s="181">
        <v>1</v>
      </c>
      <c r="F48" s="120"/>
      <c r="G48" s="130" t="s">
        <v>176</v>
      </c>
      <c r="H48" s="180" t="s">
        <v>164</v>
      </c>
      <c r="I48" s="180"/>
      <c r="J48" s="180"/>
      <c r="K48" s="181">
        <v>1</v>
      </c>
    </row>
    <row r="49" spans="1:11" x14ac:dyDescent="0.25">
      <c r="A49" s="130" t="s">
        <v>177</v>
      </c>
      <c r="B49" s="180" t="s">
        <v>164</v>
      </c>
      <c r="C49" s="180"/>
      <c r="D49" s="180"/>
      <c r="E49" s="181">
        <v>1</v>
      </c>
      <c r="F49" s="131"/>
      <c r="G49" s="130" t="s">
        <v>177</v>
      </c>
      <c r="H49" s="180" t="s">
        <v>164</v>
      </c>
      <c r="I49" s="180"/>
      <c r="J49" s="180"/>
      <c r="K49" s="181">
        <v>1</v>
      </c>
    </row>
    <row r="50" spans="1:11" x14ac:dyDescent="0.25">
      <c r="A50" s="130" t="s">
        <v>180</v>
      </c>
      <c r="B50" s="180" t="s">
        <v>164</v>
      </c>
      <c r="C50" s="180"/>
      <c r="D50" s="180"/>
      <c r="E50" s="181">
        <v>1</v>
      </c>
      <c r="F50" s="131"/>
      <c r="G50" s="130" t="s">
        <v>180</v>
      </c>
      <c r="H50" s="180" t="s">
        <v>164</v>
      </c>
      <c r="I50" s="180"/>
      <c r="J50" s="180"/>
      <c r="K50" s="181">
        <v>1</v>
      </c>
    </row>
    <row r="51" spans="1:11" x14ac:dyDescent="0.25">
      <c r="A51" s="130" t="s">
        <v>152</v>
      </c>
      <c r="B51" s="180" t="s">
        <v>164</v>
      </c>
      <c r="C51" s="180"/>
      <c r="D51" s="180"/>
      <c r="E51" s="181">
        <v>1</v>
      </c>
      <c r="F51" s="131"/>
      <c r="G51" s="130" t="s">
        <v>152</v>
      </c>
      <c r="H51" s="180" t="s">
        <v>164</v>
      </c>
      <c r="I51" s="180"/>
      <c r="J51" s="180"/>
      <c r="K51" s="181">
        <v>1</v>
      </c>
    </row>
    <row r="52" spans="1:11" x14ac:dyDescent="0.25">
      <c r="A52" s="358" t="s">
        <v>181</v>
      </c>
      <c r="B52" s="359"/>
      <c r="C52" s="359"/>
      <c r="D52" s="359"/>
      <c r="E52" s="360">
        <f>SUM(E18:E51)</f>
        <v>34</v>
      </c>
      <c r="F52" s="132"/>
      <c r="G52" s="361" t="s">
        <v>181</v>
      </c>
      <c r="H52" s="362"/>
      <c r="I52" s="182"/>
      <c r="J52" s="182"/>
      <c r="K52" s="138">
        <f>SUM(K18:K51)</f>
        <v>34</v>
      </c>
    </row>
    <row r="53" spans="1:11" x14ac:dyDescent="0.25">
      <c r="A53" s="334"/>
      <c r="B53" s="335"/>
      <c r="C53" s="335"/>
      <c r="D53" s="336"/>
      <c r="E53" s="337"/>
      <c r="F53" s="336"/>
      <c r="G53" s="338"/>
      <c r="H53" s="339"/>
      <c r="I53" s="218"/>
      <c r="J53" s="219"/>
      <c r="K53" s="132"/>
    </row>
    <row r="54" spans="1:11" x14ac:dyDescent="0.25">
      <c r="A54" s="340"/>
      <c r="B54" s="132"/>
      <c r="C54" s="132"/>
      <c r="D54" s="132"/>
      <c r="E54" s="132"/>
      <c r="F54" s="132"/>
      <c r="G54" s="132"/>
      <c r="H54" s="341"/>
      <c r="I54" s="132"/>
      <c r="J54" s="132"/>
      <c r="K54" s="132"/>
    </row>
    <row r="55" spans="1:11" x14ac:dyDescent="0.25">
      <c r="A55" s="342" t="s">
        <v>182</v>
      </c>
      <c r="B55" s="132"/>
      <c r="C55" s="132"/>
      <c r="D55" s="132"/>
      <c r="E55" s="132"/>
      <c r="F55" s="132"/>
      <c r="G55" s="132"/>
      <c r="H55" s="341"/>
      <c r="I55" s="132"/>
      <c r="J55" s="132"/>
      <c r="K55" s="132"/>
    </row>
    <row r="56" spans="1:11" x14ac:dyDescent="0.25">
      <c r="A56" s="343"/>
      <c r="B56" s="120"/>
      <c r="C56" s="120"/>
      <c r="D56" s="120"/>
      <c r="E56" s="120"/>
      <c r="F56" s="120"/>
      <c r="G56" s="120"/>
      <c r="H56" s="344"/>
      <c r="I56" s="125"/>
      <c r="J56" s="125"/>
      <c r="K56" s="125"/>
    </row>
    <row r="57" spans="1:11" ht="55.5" customHeight="1" x14ac:dyDescent="0.25">
      <c r="A57" s="345" t="s">
        <v>183</v>
      </c>
      <c r="B57" s="440" t="s">
        <v>184</v>
      </c>
      <c r="C57" s="441"/>
      <c r="D57" s="441"/>
      <c r="E57" s="441"/>
      <c r="F57" s="441"/>
      <c r="G57" s="441"/>
      <c r="H57" s="442"/>
      <c r="I57" s="212"/>
      <c r="J57" s="125"/>
      <c r="K57" s="125"/>
    </row>
    <row r="58" spans="1:11" x14ac:dyDescent="0.25">
      <c r="A58" s="346"/>
      <c r="B58" s="347"/>
      <c r="C58" s="347"/>
      <c r="D58" s="347"/>
      <c r="E58" s="347"/>
      <c r="F58" s="347"/>
      <c r="G58" s="347"/>
      <c r="H58" s="348"/>
      <c r="I58" s="212"/>
      <c r="J58" s="125"/>
      <c r="K58" s="125"/>
    </row>
    <row r="59" spans="1:11" ht="64.5" customHeight="1" x14ac:dyDescent="0.25">
      <c r="A59" s="443" t="s">
        <v>41</v>
      </c>
      <c r="B59" s="444"/>
      <c r="C59" s="445"/>
      <c r="D59" s="133" t="s">
        <v>42</v>
      </c>
      <c r="E59" s="133" t="s">
        <v>185</v>
      </c>
      <c r="F59" s="133" t="s">
        <v>186</v>
      </c>
      <c r="G59" s="133" t="s">
        <v>187</v>
      </c>
      <c r="H59" s="349" t="s">
        <v>188</v>
      </c>
      <c r="I59" s="134"/>
      <c r="J59" s="134"/>
      <c r="K59" s="134"/>
    </row>
    <row r="60" spans="1:11" x14ac:dyDescent="0.25">
      <c r="A60" s="446" t="s">
        <v>189</v>
      </c>
      <c r="B60" s="447"/>
      <c r="C60" s="447"/>
      <c r="D60" s="448"/>
      <c r="E60" s="189"/>
      <c r="F60" s="190"/>
      <c r="G60" s="189"/>
      <c r="H60" s="350"/>
      <c r="I60" s="134"/>
      <c r="J60" s="134"/>
      <c r="K60" s="134"/>
    </row>
    <row r="61" spans="1:11" ht="43.5" customHeight="1" x14ac:dyDescent="0.25">
      <c r="A61" s="449" t="s">
        <v>190</v>
      </c>
      <c r="B61" s="450"/>
      <c r="C61" s="451"/>
      <c r="D61" s="135" t="s">
        <v>191</v>
      </c>
      <c r="E61" s="135">
        <v>8</v>
      </c>
      <c r="F61" s="227">
        <v>8</v>
      </c>
      <c r="G61" s="228">
        <v>2</v>
      </c>
      <c r="H61" s="351">
        <v>1</v>
      </c>
      <c r="I61" s="134"/>
      <c r="J61" s="134"/>
      <c r="K61" s="134"/>
    </row>
    <row r="62" spans="1:11" x14ac:dyDescent="0.25">
      <c r="A62" s="446" t="s">
        <v>16</v>
      </c>
      <c r="B62" s="447"/>
      <c r="C62" s="447"/>
      <c r="D62" s="448"/>
      <c r="E62" s="189"/>
      <c r="F62" s="190"/>
      <c r="G62" s="191"/>
      <c r="H62" s="352"/>
      <c r="I62" s="121"/>
      <c r="J62" s="120"/>
      <c r="K62" s="120"/>
    </row>
    <row r="63" spans="1:11" x14ac:dyDescent="0.25">
      <c r="A63" s="427" t="s">
        <v>192</v>
      </c>
      <c r="B63" s="428"/>
      <c r="C63" s="429"/>
      <c r="D63" s="135" t="s">
        <v>191</v>
      </c>
      <c r="E63" s="230">
        <v>4</v>
      </c>
      <c r="F63" s="231">
        <v>4</v>
      </c>
      <c r="G63" s="230">
        <v>2</v>
      </c>
      <c r="H63" s="353">
        <v>0.33</v>
      </c>
      <c r="I63" s="121"/>
      <c r="J63" s="120"/>
      <c r="K63" s="120"/>
    </row>
    <row r="64" spans="1:11" ht="15.75" customHeight="1" x14ac:dyDescent="0.25">
      <c r="A64" s="427" t="s">
        <v>193</v>
      </c>
      <c r="B64" s="428"/>
      <c r="C64" s="429"/>
      <c r="D64" s="135" t="s">
        <v>191</v>
      </c>
      <c r="E64" s="230">
        <v>2</v>
      </c>
      <c r="F64" s="231">
        <v>2</v>
      </c>
      <c r="G64" s="230">
        <v>2</v>
      </c>
      <c r="H64" s="353">
        <v>0.33</v>
      </c>
      <c r="I64" s="121"/>
      <c r="J64" s="120"/>
      <c r="K64" s="120"/>
    </row>
    <row r="65" spans="1:11" x14ac:dyDescent="0.25">
      <c r="A65" s="449" t="s">
        <v>194</v>
      </c>
      <c r="B65" s="450"/>
      <c r="C65" s="451"/>
      <c r="D65" s="135" t="s">
        <v>191</v>
      </c>
      <c r="E65" s="228">
        <v>2</v>
      </c>
      <c r="F65" s="227">
        <v>2</v>
      </c>
      <c r="G65" s="228">
        <v>2</v>
      </c>
      <c r="H65" s="353">
        <v>0.33</v>
      </c>
      <c r="I65" s="121"/>
      <c r="J65" s="120"/>
      <c r="K65" s="120"/>
    </row>
    <row r="66" spans="1:11" x14ac:dyDescent="0.25">
      <c r="A66" s="452" t="s">
        <v>48</v>
      </c>
      <c r="B66" s="453"/>
      <c r="C66" s="453"/>
      <c r="D66" s="454"/>
      <c r="E66" s="189"/>
      <c r="F66" s="189"/>
      <c r="G66" s="191"/>
      <c r="H66" s="352"/>
      <c r="I66" s="120"/>
      <c r="J66" s="120"/>
      <c r="K66" s="120"/>
    </row>
    <row r="67" spans="1:11" x14ac:dyDescent="0.25">
      <c r="A67" s="319" t="s">
        <v>195</v>
      </c>
      <c r="B67" s="320"/>
      <c r="C67" s="321"/>
      <c r="D67" s="304" t="s">
        <v>191</v>
      </c>
      <c r="E67" s="233">
        <v>1.6</v>
      </c>
      <c r="F67" s="233">
        <v>1.6</v>
      </c>
      <c r="G67" s="230">
        <v>2</v>
      </c>
      <c r="H67" s="353">
        <v>0.2</v>
      </c>
      <c r="I67" s="120"/>
      <c r="J67" s="120"/>
      <c r="K67" s="120"/>
    </row>
    <row r="68" spans="1:11" x14ac:dyDescent="0.25">
      <c r="A68" s="319" t="s">
        <v>196</v>
      </c>
      <c r="B68" s="320"/>
      <c r="C68" s="321"/>
      <c r="D68" s="304" t="s">
        <v>191</v>
      </c>
      <c r="E68" s="233">
        <v>1.6</v>
      </c>
      <c r="F68" s="233">
        <v>1.6</v>
      </c>
      <c r="G68" s="230">
        <v>2</v>
      </c>
      <c r="H68" s="353">
        <v>0.2</v>
      </c>
      <c r="I68" s="120"/>
      <c r="J68" s="120"/>
      <c r="K68" s="120"/>
    </row>
    <row r="69" spans="1:11" x14ac:dyDescent="0.25">
      <c r="A69" s="317" t="s">
        <v>197</v>
      </c>
      <c r="B69" s="318"/>
      <c r="C69" s="315"/>
      <c r="D69" s="306" t="s">
        <v>191</v>
      </c>
      <c r="E69" s="233">
        <v>1.6</v>
      </c>
      <c r="F69" s="233">
        <v>1.6</v>
      </c>
      <c r="G69" s="230">
        <v>2</v>
      </c>
      <c r="H69" s="353">
        <v>0.2</v>
      </c>
      <c r="I69" s="120"/>
      <c r="J69" s="120"/>
      <c r="K69" s="120"/>
    </row>
    <row r="70" spans="1:11" x14ac:dyDescent="0.25">
      <c r="A70" s="322" t="s">
        <v>198</v>
      </c>
      <c r="B70" s="298"/>
      <c r="C70" s="298"/>
      <c r="D70" s="327" t="s">
        <v>191</v>
      </c>
      <c r="E70" s="307">
        <v>1.6</v>
      </c>
      <c r="F70" s="233">
        <v>1.6</v>
      </c>
      <c r="G70" s="230">
        <v>2</v>
      </c>
      <c r="H70" s="353">
        <v>0.2</v>
      </c>
      <c r="I70" s="120"/>
      <c r="J70" s="120"/>
      <c r="K70" s="120"/>
    </row>
    <row r="71" spans="1:11" x14ac:dyDescent="0.25">
      <c r="A71" s="317" t="s">
        <v>199</v>
      </c>
      <c r="B71" s="318"/>
      <c r="C71" s="314"/>
      <c r="D71" s="363" t="s">
        <v>191</v>
      </c>
      <c r="E71" s="354">
        <v>1.6</v>
      </c>
      <c r="F71" s="355">
        <v>1.6</v>
      </c>
      <c r="G71" s="356">
        <v>2</v>
      </c>
      <c r="H71" s="357">
        <v>0.2</v>
      </c>
      <c r="I71" s="131"/>
      <c r="J71" s="120"/>
      <c r="K71" s="120"/>
    </row>
    <row r="72" spans="1:11" ht="16.5" customHeight="1" x14ac:dyDescent="0.25">
      <c r="A72" s="313" t="s">
        <v>200</v>
      </c>
      <c r="B72" s="333"/>
      <c r="C72" s="333"/>
      <c r="D72" s="328" t="s">
        <v>191</v>
      </c>
      <c r="E72" s="305">
        <v>1.6</v>
      </c>
      <c r="F72" s="300">
        <v>1.6</v>
      </c>
      <c r="G72" s="301">
        <v>2</v>
      </c>
      <c r="H72" s="302">
        <v>0.2</v>
      </c>
      <c r="I72" s="131"/>
      <c r="J72" s="120"/>
      <c r="K72" s="120"/>
    </row>
    <row r="73" spans="1:11" ht="16.5" customHeight="1" x14ac:dyDescent="0.25">
      <c r="A73" s="322" t="s">
        <v>100</v>
      </c>
      <c r="B73" s="298"/>
      <c r="C73" s="298"/>
      <c r="D73" s="364" t="s">
        <v>191</v>
      </c>
      <c r="E73" s="307">
        <v>1.6</v>
      </c>
      <c r="F73" s="233">
        <v>1.6</v>
      </c>
      <c r="G73" s="230">
        <v>2</v>
      </c>
      <c r="H73" s="232">
        <v>0.2</v>
      </c>
      <c r="I73" s="131"/>
      <c r="J73" s="120"/>
      <c r="K73" s="120"/>
    </row>
    <row r="74" spans="1:11" ht="16.5" customHeight="1" x14ac:dyDescent="0.25">
      <c r="A74" s="319" t="s">
        <v>201</v>
      </c>
      <c r="B74" s="320"/>
      <c r="C74" s="320"/>
      <c r="D74" s="365" t="s">
        <v>191</v>
      </c>
      <c r="E74" s="307">
        <v>1.6</v>
      </c>
      <c r="F74" s="233">
        <v>1.6</v>
      </c>
      <c r="G74" s="230">
        <v>2</v>
      </c>
      <c r="H74" s="232">
        <v>0.2</v>
      </c>
      <c r="I74" s="131"/>
      <c r="J74" s="120"/>
      <c r="K74" s="120"/>
    </row>
    <row r="75" spans="1:11" ht="16.5" customHeight="1" x14ac:dyDescent="0.25">
      <c r="A75" s="319" t="s">
        <v>202</v>
      </c>
      <c r="B75" s="320"/>
      <c r="C75" s="320"/>
      <c r="D75" s="365" t="s">
        <v>191</v>
      </c>
      <c r="E75" s="307">
        <v>1.6</v>
      </c>
      <c r="F75" s="233">
        <v>1.6</v>
      </c>
      <c r="G75" s="230">
        <v>2</v>
      </c>
      <c r="H75" s="232">
        <v>0.2</v>
      </c>
      <c r="I75" s="131"/>
      <c r="J75" s="120"/>
      <c r="K75" s="120"/>
    </row>
    <row r="76" spans="1:11" ht="16.5" customHeight="1" x14ac:dyDescent="0.25">
      <c r="A76" s="319" t="s">
        <v>203</v>
      </c>
      <c r="B76" s="309"/>
      <c r="C76" s="309"/>
      <c r="D76" s="365" t="s">
        <v>191</v>
      </c>
      <c r="E76" s="307">
        <v>1.6</v>
      </c>
      <c r="F76" s="233">
        <v>1.6</v>
      </c>
      <c r="G76" s="230">
        <v>2</v>
      </c>
      <c r="H76" s="232">
        <v>0.2</v>
      </c>
      <c r="I76" s="131"/>
      <c r="J76" s="120"/>
      <c r="K76" s="120"/>
    </row>
    <row r="77" spans="1:11" ht="16.5" customHeight="1" x14ac:dyDescent="0.25">
      <c r="A77" s="460" t="s">
        <v>178</v>
      </c>
      <c r="B77" s="461"/>
      <c r="C77" s="462"/>
      <c r="D77" s="365" t="s">
        <v>191</v>
      </c>
      <c r="E77" s="307">
        <v>1.6</v>
      </c>
      <c r="F77" s="233">
        <v>1.6</v>
      </c>
      <c r="G77" s="230">
        <v>2</v>
      </c>
      <c r="H77" s="232">
        <v>0.2</v>
      </c>
      <c r="I77" s="131"/>
      <c r="J77" s="120"/>
      <c r="K77" s="120"/>
    </row>
    <row r="78" spans="1:11" ht="16.5" customHeight="1" x14ac:dyDescent="0.25">
      <c r="A78" s="460" t="s">
        <v>111</v>
      </c>
      <c r="B78" s="461"/>
      <c r="C78" s="462"/>
      <c r="D78" s="365" t="s">
        <v>191</v>
      </c>
      <c r="E78" s="307">
        <v>1.6</v>
      </c>
      <c r="F78" s="233">
        <v>1.6</v>
      </c>
      <c r="G78" s="230">
        <v>2</v>
      </c>
      <c r="H78" s="232">
        <v>0.2</v>
      </c>
      <c r="I78" s="131"/>
      <c r="J78" s="120"/>
      <c r="K78" s="120"/>
    </row>
    <row r="79" spans="1:11" ht="16.5" customHeight="1" x14ac:dyDescent="0.25">
      <c r="A79" s="319" t="s">
        <v>115</v>
      </c>
      <c r="B79" s="309"/>
      <c r="C79" s="309"/>
      <c r="D79" s="365" t="s">
        <v>191</v>
      </c>
      <c r="E79" s="307">
        <v>1.6</v>
      </c>
      <c r="F79" s="233">
        <v>1.6</v>
      </c>
      <c r="G79" s="230">
        <v>2</v>
      </c>
      <c r="H79" s="232">
        <v>0.2</v>
      </c>
      <c r="I79" s="131"/>
      <c r="J79" s="120"/>
      <c r="K79" s="120"/>
    </row>
    <row r="80" spans="1:11" ht="16.5" customHeight="1" x14ac:dyDescent="0.25">
      <c r="A80" s="319" t="s">
        <v>117</v>
      </c>
      <c r="B80" s="309"/>
      <c r="C80" s="309"/>
      <c r="D80" s="365" t="s">
        <v>191</v>
      </c>
      <c r="E80" s="307">
        <v>1.6</v>
      </c>
      <c r="F80" s="233">
        <v>1.6</v>
      </c>
      <c r="G80" s="230">
        <v>2</v>
      </c>
      <c r="H80" s="232">
        <v>0.2</v>
      </c>
      <c r="I80" s="131"/>
      <c r="J80" s="120"/>
      <c r="K80" s="120"/>
    </row>
    <row r="81" spans="1:11" ht="16.5" customHeight="1" x14ac:dyDescent="0.25">
      <c r="A81" s="319" t="s">
        <v>119</v>
      </c>
      <c r="B81" s="309"/>
      <c r="C81" s="309"/>
      <c r="D81" s="365" t="s">
        <v>191</v>
      </c>
      <c r="E81" s="307">
        <v>1.6</v>
      </c>
      <c r="F81" s="233">
        <v>1.6</v>
      </c>
      <c r="G81" s="230">
        <v>2</v>
      </c>
      <c r="H81" s="232">
        <v>0.2</v>
      </c>
      <c r="I81" s="131"/>
      <c r="J81" s="120"/>
      <c r="K81" s="120"/>
    </row>
    <row r="82" spans="1:11" ht="16.5" customHeight="1" x14ac:dyDescent="0.25">
      <c r="A82" s="317" t="s">
        <v>179</v>
      </c>
      <c r="B82" s="324"/>
      <c r="C82" s="324"/>
      <c r="D82" s="365" t="s">
        <v>191</v>
      </c>
      <c r="E82" s="307">
        <v>1.6</v>
      </c>
      <c r="F82" s="233">
        <v>1.6</v>
      </c>
      <c r="G82" s="230">
        <v>2</v>
      </c>
      <c r="H82" s="232">
        <v>0.2</v>
      </c>
      <c r="I82" s="131"/>
      <c r="J82" s="120"/>
      <c r="K82" s="120"/>
    </row>
    <row r="83" spans="1:11" ht="16.5" customHeight="1" x14ac:dyDescent="0.25">
      <c r="A83" s="322" t="s">
        <v>123</v>
      </c>
      <c r="B83" s="303"/>
      <c r="C83" s="303"/>
      <c r="D83" s="365" t="s">
        <v>191</v>
      </c>
      <c r="E83" s="307">
        <v>1.6</v>
      </c>
      <c r="F83" s="233">
        <v>1.6</v>
      </c>
      <c r="G83" s="230">
        <v>2</v>
      </c>
      <c r="H83" s="232">
        <v>0.2</v>
      </c>
      <c r="I83" s="131"/>
      <c r="J83" s="120"/>
      <c r="K83" s="120"/>
    </row>
    <row r="84" spans="1:11" ht="16.5" customHeight="1" x14ac:dyDescent="0.25">
      <c r="A84" s="319" t="s">
        <v>125</v>
      </c>
      <c r="B84" s="309"/>
      <c r="C84" s="309"/>
      <c r="D84" s="365" t="s">
        <v>191</v>
      </c>
      <c r="E84" s="307">
        <v>1.6</v>
      </c>
      <c r="F84" s="233">
        <v>1.6</v>
      </c>
      <c r="G84" s="230">
        <v>2</v>
      </c>
      <c r="H84" s="232">
        <v>0.2</v>
      </c>
      <c r="I84" s="131"/>
      <c r="J84" s="120"/>
      <c r="K84" s="120"/>
    </row>
    <row r="85" spans="1:11" ht="16.5" customHeight="1" x14ac:dyDescent="0.25">
      <c r="A85" s="317" t="s">
        <v>127</v>
      </c>
      <c r="B85" s="324"/>
      <c r="C85" s="325"/>
      <c r="D85" s="365" t="s">
        <v>191</v>
      </c>
      <c r="E85" s="307">
        <v>1.6</v>
      </c>
      <c r="F85" s="233">
        <v>1.6</v>
      </c>
      <c r="G85" s="230">
        <v>2</v>
      </c>
      <c r="H85" s="232">
        <v>0.2</v>
      </c>
      <c r="I85" s="131"/>
      <c r="J85" s="120"/>
      <c r="K85" s="120"/>
    </row>
    <row r="86" spans="1:11" ht="16.5" customHeight="1" x14ac:dyDescent="0.25">
      <c r="A86" s="322" t="s">
        <v>129</v>
      </c>
      <c r="B86" s="303"/>
      <c r="C86" s="330"/>
      <c r="D86" s="365" t="s">
        <v>191</v>
      </c>
      <c r="E86" s="307">
        <v>1.6</v>
      </c>
      <c r="F86" s="233">
        <v>1.6</v>
      </c>
      <c r="G86" s="230">
        <v>2</v>
      </c>
      <c r="H86" s="232">
        <v>0.2</v>
      </c>
      <c r="I86" s="131"/>
      <c r="J86" s="120"/>
      <c r="K86" s="120"/>
    </row>
    <row r="87" spans="1:11" ht="16.5" customHeight="1" x14ac:dyDescent="0.25">
      <c r="A87" s="319" t="s">
        <v>204</v>
      </c>
      <c r="B87" s="309"/>
      <c r="C87" s="326"/>
      <c r="D87" s="365" t="s">
        <v>191</v>
      </c>
      <c r="E87" s="307">
        <v>1.6</v>
      </c>
      <c r="F87" s="233">
        <v>1.6</v>
      </c>
      <c r="G87" s="230">
        <v>2</v>
      </c>
      <c r="H87" s="232">
        <v>0.2</v>
      </c>
      <c r="I87" s="131"/>
      <c r="J87" s="120"/>
      <c r="K87" s="120"/>
    </row>
    <row r="88" spans="1:11" ht="16.5" customHeight="1" x14ac:dyDescent="0.25">
      <c r="A88" s="319" t="s">
        <v>133</v>
      </c>
      <c r="B88" s="309"/>
      <c r="C88" s="326"/>
      <c r="D88" s="365" t="s">
        <v>191</v>
      </c>
      <c r="E88" s="307">
        <v>1.6</v>
      </c>
      <c r="F88" s="233">
        <v>1.6</v>
      </c>
      <c r="G88" s="230">
        <v>2</v>
      </c>
      <c r="H88" s="232">
        <v>0.2</v>
      </c>
      <c r="I88" s="131"/>
      <c r="J88" s="120"/>
      <c r="K88" s="120"/>
    </row>
    <row r="89" spans="1:11" ht="16.5" customHeight="1" x14ac:dyDescent="0.25">
      <c r="A89" s="319" t="s">
        <v>135</v>
      </c>
      <c r="B89" s="309"/>
      <c r="C89" s="326"/>
      <c r="D89" s="365" t="s">
        <v>191</v>
      </c>
      <c r="E89" s="307">
        <v>1.6</v>
      </c>
      <c r="F89" s="233">
        <v>1.6</v>
      </c>
      <c r="G89" s="230">
        <v>2</v>
      </c>
      <c r="H89" s="232">
        <v>0.2</v>
      </c>
      <c r="I89" s="131"/>
      <c r="J89" s="120"/>
      <c r="K89" s="120"/>
    </row>
    <row r="90" spans="1:11" ht="16.5" customHeight="1" x14ac:dyDescent="0.25">
      <c r="A90" s="317" t="s">
        <v>137</v>
      </c>
      <c r="B90" s="324"/>
      <c r="C90" s="325"/>
      <c r="D90" s="365" t="s">
        <v>191</v>
      </c>
      <c r="E90" s="307">
        <v>1.6</v>
      </c>
      <c r="F90" s="233">
        <v>1.6</v>
      </c>
      <c r="G90" s="230">
        <v>2</v>
      </c>
      <c r="H90" s="232">
        <v>0.2</v>
      </c>
      <c r="I90" s="131"/>
      <c r="J90" s="120"/>
      <c r="K90" s="120"/>
    </row>
    <row r="91" spans="1:11" ht="16.5" customHeight="1" x14ac:dyDescent="0.25">
      <c r="A91" s="310" t="s">
        <v>198</v>
      </c>
      <c r="B91" s="303"/>
      <c r="C91" s="303"/>
      <c r="D91" s="365" t="s">
        <v>191</v>
      </c>
      <c r="E91" s="307">
        <v>1.6</v>
      </c>
      <c r="F91" s="233">
        <v>1.6</v>
      </c>
      <c r="G91" s="230">
        <v>2</v>
      </c>
      <c r="H91" s="232">
        <v>0.2</v>
      </c>
      <c r="I91" s="131"/>
      <c r="J91" s="120"/>
      <c r="K91" s="120"/>
    </row>
    <row r="92" spans="1:11" ht="16.5" customHeight="1" x14ac:dyDescent="0.25">
      <c r="A92" s="319" t="s">
        <v>196</v>
      </c>
      <c r="B92" s="309"/>
      <c r="C92" s="309"/>
      <c r="D92" s="365" t="s">
        <v>191</v>
      </c>
      <c r="E92" s="307">
        <v>1.6</v>
      </c>
      <c r="F92" s="233">
        <v>1.6</v>
      </c>
      <c r="G92" s="230">
        <v>2</v>
      </c>
      <c r="H92" s="232">
        <v>0.2</v>
      </c>
      <c r="I92" s="131"/>
      <c r="J92" s="120"/>
      <c r="K92" s="120"/>
    </row>
    <row r="93" spans="1:11" ht="16.5" customHeight="1" x14ac:dyDescent="0.25">
      <c r="A93" s="319" t="s">
        <v>197</v>
      </c>
      <c r="B93" s="309"/>
      <c r="C93" s="309"/>
      <c r="D93" s="365" t="s">
        <v>191</v>
      </c>
      <c r="E93" s="307">
        <v>1.6</v>
      </c>
      <c r="F93" s="233">
        <v>1.6</v>
      </c>
      <c r="G93" s="230">
        <v>2</v>
      </c>
      <c r="H93" s="232">
        <v>0.2</v>
      </c>
      <c r="I93" s="131"/>
      <c r="J93" s="120"/>
      <c r="K93" s="120"/>
    </row>
    <row r="94" spans="1:11" ht="16.5" customHeight="1" x14ac:dyDescent="0.25">
      <c r="A94" s="317" t="s">
        <v>199</v>
      </c>
      <c r="B94" s="324"/>
      <c r="C94" s="324"/>
      <c r="D94" s="365" t="s">
        <v>191</v>
      </c>
      <c r="E94" s="307">
        <v>1.6</v>
      </c>
      <c r="F94" s="233">
        <v>1.6</v>
      </c>
      <c r="G94" s="230">
        <v>2</v>
      </c>
      <c r="H94" s="232">
        <v>0.2</v>
      </c>
      <c r="I94" s="131"/>
      <c r="J94" s="120"/>
      <c r="K94" s="120"/>
    </row>
    <row r="95" spans="1:11" ht="16.5" customHeight="1" x14ac:dyDescent="0.25">
      <c r="A95" s="322" t="s">
        <v>195</v>
      </c>
      <c r="B95" s="329"/>
      <c r="C95" s="329"/>
      <c r="D95" s="365" t="s">
        <v>191</v>
      </c>
      <c r="E95" s="307">
        <v>1.6</v>
      </c>
      <c r="F95" s="233">
        <v>1.6</v>
      </c>
      <c r="G95" s="230">
        <v>2</v>
      </c>
      <c r="H95" s="232">
        <v>0.2</v>
      </c>
      <c r="I95" s="131"/>
      <c r="J95" s="120"/>
      <c r="K95" s="120"/>
    </row>
    <row r="96" spans="1:11" ht="16.5" customHeight="1" x14ac:dyDescent="0.25">
      <c r="A96" s="319" t="s">
        <v>205</v>
      </c>
      <c r="B96" s="309"/>
      <c r="C96" s="309"/>
      <c r="D96" s="365" t="s">
        <v>191</v>
      </c>
      <c r="E96" s="307">
        <v>1.6</v>
      </c>
      <c r="F96" s="233">
        <v>1.6</v>
      </c>
      <c r="G96" s="230">
        <v>2</v>
      </c>
      <c r="H96" s="232">
        <v>0.2</v>
      </c>
      <c r="I96" s="131"/>
      <c r="J96" s="120"/>
      <c r="K96" s="120"/>
    </row>
    <row r="97" spans="1:11" ht="16.5" customHeight="1" x14ac:dyDescent="0.25">
      <c r="A97" s="317" t="s">
        <v>201</v>
      </c>
      <c r="B97" s="324"/>
      <c r="C97" s="325"/>
      <c r="D97" s="365" t="s">
        <v>191</v>
      </c>
      <c r="E97" s="307">
        <v>1.6</v>
      </c>
      <c r="F97" s="233">
        <v>1.6</v>
      </c>
      <c r="G97" s="230">
        <v>2</v>
      </c>
      <c r="H97" s="232">
        <v>0.2</v>
      </c>
      <c r="I97" s="131"/>
      <c r="J97" s="120"/>
      <c r="K97" s="120"/>
    </row>
    <row r="98" spans="1:11" ht="16.5" customHeight="1" x14ac:dyDescent="0.25">
      <c r="A98" s="313" t="s">
        <v>202</v>
      </c>
      <c r="B98" s="331"/>
      <c r="C98" s="332"/>
      <c r="D98" s="365" t="s">
        <v>191</v>
      </c>
      <c r="E98" s="307">
        <v>1.6</v>
      </c>
      <c r="F98" s="233">
        <v>1.6</v>
      </c>
      <c r="G98" s="230">
        <v>2</v>
      </c>
      <c r="H98" s="232">
        <v>0.2</v>
      </c>
      <c r="I98" s="131"/>
      <c r="J98" s="120"/>
      <c r="K98" s="120"/>
    </row>
    <row r="99" spans="1:11" ht="16.5" customHeight="1" x14ac:dyDescent="0.25">
      <c r="A99" s="322" t="s">
        <v>203</v>
      </c>
      <c r="B99" s="303"/>
      <c r="C99" s="303"/>
      <c r="D99" s="365" t="s">
        <v>191</v>
      </c>
      <c r="E99" s="307">
        <v>1.6</v>
      </c>
      <c r="F99" s="233">
        <v>1.6</v>
      </c>
      <c r="G99" s="230">
        <v>2</v>
      </c>
      <c r="H99" s="232">
        <v>0.2</v>
      </c>
      <c r="I99" s="131"/>
      <c r="J99" s="120"/>
      <c r="K99" s="120"/>
    </row>
    <row r="100" spans="1:11" ht="16.5" customHeight="1" x14ac:dyDescent="0.25">
      <c r="A100" s="317" t="s">
        <v>206</v>
      </c>
      <c r="B100" s="324"/>
      <c r="C100" s="324"/>
      <c r="D100" s="365" t="s">
        <v>191</v>
      </c>
      <c r="E100" s="307">
        <v>1.6</v>
      </c>
      <c r="F100" s="233">
        <v>1.6</v>
      </c>
      <c r="G100" s="230">
        <v>2</v>
      </c>
      <c r="H100" s="232">
        <v>0.2</v>
      </c>
      <c r="I100" s="131"/>
      <c r="J100" s="120"/>
      <c r="K100" s="120"/>
    </row>
    <row r="101" spans="1:11" ht="16.5" customHeight="1" x14ac:dyDescent="0.25">
      <c r="A101" s="313" t="s">
        <v>686</v>
      </c>
      <c r="B101" s="331"/>
      <c r="C101" s="332"/>
      <c r="D101" s="365" t="s">
        <v>191</v>
      </c>
      <c r="E101" s="307">
        <v>1.6</v>
      </c>
      <c r="F101" s="233">
        <v>1.6</v>
      </c>
      <c r="G101" s="230">
        <v>2</v>
      </c>
      <c r="H101" s="232">
        <v>0.2</v>
      </c>
      <c r="I101" s="131"/>
      <c r="J101" s="120"/>
      <c r="K101" s="120"/>
    </row>
    <row r="102" spans="1:11" ht="16.5" customHeight="1" x14ac:dyDescent="0.25">
      <c r="A102" s="322" t="s">
        <v>687</v>
      </c>
      <c r="B102" s="303"/>
      <c r="C102" s="303"/>
      <c r="D102" s="365" t="s">
        <v>191</v>
      </c>
      <c r="E102" s="307">
        <v>1.6</v>
      </c>
      <c r="F102" s="233">
        <v>1.6</v>
      </c>
      <c r="G102" s="230">
        <v>2</v>
      </c>
      <c r="H102" s="232">
        <v>0.2</v>
      </c>
      <c r="I102" s="131"/>
      <c r="J102" s="120"/>
      <c r="K102" s="120"/>
    </row>
    <row r="103" spans="1:11" ht="16.5" customHeight="1" x14ac:dyDescent="0.25">
      <c r="A103" s="317" t="s">
        <v>688</v>
      </c>
      <c r="B103" s="324"/>
      <c r="C103" s="324"/>
      <c r="D103" s="365" t="s">
        <v>191</v>
      </c>
      <c r="E103" s="307">
        <v>1.6</v>
      </c>
      <c r="F103" s="233">
        <v>1.6</v>
      </c>
      <c r="G103" s="230">
        <v>2</v>
      </c>
      <c r="H103" s="232">
        <v>0.2</v>
      </c>
      <c r="I103" s="131"/>
      <c r="J103" s="120"/>
      <c r="K103" s="120"/>
    </row>
    <row r="104" spans="1:11" x14ac:dyDescent="0.25">
      <c r="A104" s="455" t="s">
        <v>49</v>
      </c>
      <c r="B104" s="456"/>
      <c r="C104" s="456"/>
      <c r="D104" s="457"/>
      <c r="E104" s="189"/>
      <c r="F104" s="190"/>
      <c r="G104" s="191"/>
      <c r="H104" s="139"/>
      <c r="I104" s="120"/>
      <c r="J104" s="120"/>
      <c r="K104" s="120"/>
    </row>
    <row r="105" spans="1:11" ht="16.5" customHeight="1" x14ac:dyDescent="0.25">
      <c r="A105" s="319" t="s">
        <v>195</v>
      </c>
      <c r="B105" s="320"/>
      <c r="C105" s="321"/>
      <c r="D105" s="304" t="s">
        <v>191</v>
      </c>
      <c r="E105" s="233">
        <v>2.4</v>
      </c>
      <c r="F105" s="233">
        <v>2.4</v>
      </c>
      <c r="G105" s="230">
        <v>2</v>
      </c>
      <c r="H105" s="232">
        <v>0.3</v>
      </c>
      <c r="I105" s="120"/>
      <c r="J105" s="120"/>
      <c r="K105" s="120"/>
    </row>
    <row r="106" spans="1:11" ht="16.5" customHeight="1" x14ac:dyDescent="0.25">
      <c r="A106" s="319" t="s">
        <v>196</v>
      </c>
      <c r="B106" s="320"/>
      <c r="C106" s="315"/>
      <c r="D106" s="304" t="s">
        <v>191</v>
      </c>
      <c r="E106" s="233">
        <v>2.4</v>
      </c>
      <c r="F106" s="233">
        <v>2.4</v>
      </c>
      <c r="G106" s="230">
        <v>2</v>
      </c>
      <c r="H106" s="232">
        <v>0.3</v>
      </c>
      <c r="I106" s="120"/>
      <c r="J106" s="120"/>
      <c r="K106" s="120"/>
    </row>
    <row r="107" spans="1:11" ht="16.5" customHeight="1" x14ac:dyDescent="0.25">
      <c r="A107" s="319" t="s">
        <v>197</v>
      </c>
      <c r="B107" s="321"/>
      <c r="C107" s="299"/>
      <c r="D107" s="308" t="s">
        <v>191</v>
      </c>
      <c r="E107" s="233">
        <v>2.4</v>
      </c>
      <c r="F107" s="233">
        <v>2.4</v>
      </c>
      <c r="G107" s="230">
        <v>2</v>
      </c>
      <c r="H107" s="232">
        <v>0.3</v>
      </c>
      <c r="I107" s="120"/>
      <c r="J107" s="120"/>
      <c r="K107" s="120"/>
    </row>
    <row r="108" spans="1:11" ht="16.5" customHeight="1" x14ac:dyDescent="0.25">
      <c r="A108" s="319" t="s">
        <v>198</v>
      </c>
      <c r="B108" s="320"/>
      <c r="C108" s="367"/>
      <c r="D108" s="366" t="s">
        <v>191</v>
      </c>
      <c r="E108" s="233">
        <v>2.4</v>
      </c>
      <c r="F108" s="233">
        <v>2.4</v>
      </c>
      <c r="G108" s="230">
        <v>2</v>
      </c>
      <c r="H108" s="232">
        <v>0.3</v>
      </c>
      <c r="I108" s="120"/>
      <c r="J108" s="120"/>
      <c r="K108" s="120"/>
    </row>
    <row r="109" spans="1:11" ht="16.5" customHeight="1" x14ac:dyDescent="0.25">
      <c r="A109" s="319" t="s">
        <v>199</v>
      </c>
      <c r="B109" s="320"/>
      <c r="C109" s="321"/>
      <c r="D109" s="316" t="s">
        <v>191</v>
      </c>
      <c r="E109" s="233">
        <v>2.4</v>
      </c>
      <c r="F109" s="233">
        <v>2.4</v>
      </c>
      <c r="G109" s="230">
        <v>2</v>
      </c>
      <c r="H109" s="232">
        <v>0.3</v>
      </c>
      <c r="I109" s="120"/>
      <c r="J109" s="120"/>
      <c r="K109" s="120"/>
    </row>
    <row r="110" spans="1:11" ht="16.5" customHeight="1" x14ac:dyDescent="0.25">
      <c r="A110" s="319" t="s">
        <v>200</v>
      </c>
      <c r="B110" s="320"/>
      <c r="C110" s="321"/>
      <c r="D110" s="304" t="s">
        <v>191</v>
      </c>
      <c r="E110" s="233">
        <v>2.4</v>
      </c>
      <c r="F110" s="233">
        <v>2.4</v>
      </c>
      <c r="G110" s="230">
        <v>2</v>
      </c>
      <c r="H110" s="232">
        <v>0.3</v>
      </c>
      <c r="I110" s="120"/>
      <c r="J110" s="120"/>
      <c r="K110" s="120"/>
    </row>
    <row r="111" spans="1:11" ht="16.5" customHeight="1" x14ac:dyDescent="0.25">
      <c r="A111" s="319" t="s">
        <v>100</v>
      </c>
      <c r="B111" s="320"/>
      <c r="C111" s="321"/>
      <c r="D111" s="304" t="s">
        <v>191</v>
      </c>
      <c r="E111" s="233">
        <v>2.4</v>
      </c>
      <c r="F111" s="233">
        <v>2.4</v>
      </c>
      <c r="G111" s="230">
        <v>2</v>
      </c>
      <c r="H111" s="232">
        <v>0.3</v>
      </c>
      <c r="I111" s="120"/>
      <c r="J111" s="120"/>
      <c r="K111" s="120"/>
    </row>
    <row r="112" spans="1:11" ht="16.5" customHeight="1" x14ac:dyDescent="0.25">
      <c r="A112" s="319" t="s">
        <v>201</v>
      </c>
      <c r="B112" s="320"/>
      <c r="C112" s="321"/>
      <c r="D112" s="304" t="s">
        <v>191</v>
      </c>
      <c r="E112" s="233">
        <v>2.4</v>
      </c>
      <c r="F112" s="233">
        <v>2.4</v>
      </c>
      <c r="G112" s="230">
        <v>2</v>
      </c>
      <c r="H112" s="232">
        <v>0.3</v>
      </c>
      <c r="I112" s="120"/>
      <c r="J112" s="120"/>
      <c r="K112" s="120"/>
    </row>
    <row r="113" spans="1:11" ht="16.5" customHeight="1" x14ac:dyDescent="0.25">
      <c r="A113" s="319" t="s">
        <v>202</v>
      </c>
      <c r="B113" s="320"/>
      <c r="C113" s="321"/>
      <c r="D113" s="304" t="s">
        <v>191</v>
      </c>
      <c r="E113" s="233">
        <v>2.4</v>
      </c>
      <c r="F113" s="233">
        <v>2.4</v>
      </c>
      <c r="G113" s="230">
        <v>2</v>
      </c>
      <c r="H113" s="232">
        <v>0.3</v>
      </c>
      <c r="I113" s="120"/>
      <c r="J113" s="120"/>
      <c r="K113" s="120"/>
    </row>
    <row r="114" spans="1:11" ht="16.5" customHeight="1" x14ac:dyDescent="0.25">
      <c r="A114" s="460" t="s">
        <v>111</v>
      </c>
      <c r="B114" s="461"/>
      <c r="C114" s="462"/>
      <c r="D114" s="365" t="s">
        <v>191</v>
      </c>
      <c r="E114" s="233">
        <v>2.4</v>
      </c>
      <c r="F114" s="233">
        <v>2.4</v>
      </c>
      <c r="G114" s="230">
        <v>2</v>
      </c>
      <c r="H114" s="232">
        <v>0.2</v>
      </c>
      <c r="I114" s="131"/>
      <c r="J114" s="120"/>
      <c r="K114" s="120"/>
    </row>
    <row r="115" spans="1:11" ht="16.5" customHeight="1" x14ac:dyDescent="0.25">
      <c r="A115" s="460" t="s">
        <v>178</v>
      </c>
      <c r="B115" s="461"/>
      <c r="C115" s="462"/>
      <c r="D115" s="365" t="s">
        <v>191</v>
      </c>
      <c r="E115" s="233">
        <v>2.4</v>
      </c>
      <c r="F115" s="233">
        <v>2.4</v>
      </c>
      <c r="G115" s="230">
        <v>2</v>
      </c>
      <c r="H115" s="232">
        <v>0.2</v>
      </c>
      <c r="I115" s="131"/>
      <c r="J115" s="120"/>
      <c r="K115" s="120"/>
    </row>
    <row r="116" spans="1:11" ht="16.5" customHeight="1" x14ac:dyDescent="0.25">
      <c r="A116" s="317" t="s">
        <v>203</v>
      </c>
      <c r="B116" s="318"/>
      <c r="C116" s="315"/>
      <c r="D116" s="304" t="s">
        <v>191</v>
      </c>
      <c r="E116" s="233">
        <v>2.4</v>
      </c>
      <c r="F116" s="233">
        <v>2.4</v>
      </c>
      <c r="G116" s="230">
        <v>2</v>
      </c>
      <c r="H116" s="232">
        <v>0.3</v>
      </c>
      <c r="I116" s="120"/>
      <c r="J116" s="120"/>
      <c r="K116" s="120"/>
    </row>
    <row r="117" spans="1:11" ht="16.5" customHeight="1" x14ac:dyDescent="0.25">
      <c r="A117" s="322" t="s">
        <v>115</v>
      </c>
      <c r="B117" s="298"/>
      <c r="C117" s="323"/>
      <c r="D117" s="304" t="s">
        <v>191</v>
      </c>
      <c r="E117" s="233">
        <v>2.4</v>
      </c>
      <c r="F117" s="233">
        <v>2.4</v>
      </c>
      <c r="G117" s="230">
        <v>2</v>
      </c>
      <c r="H117" s="232">
        <v>0.3</v>
      </c>
      <c r="I117" s="120"/>
      <c r="J117" s="120"/>
      <c r="K117" s="120"/>
    </row>
    <row r="118" spans="1:11" ht="16.5" customHeight="1" x14ac:dyDescent="0.25">
      <c r="A118" s="319" t="s">
        <v>117</v>
      </c>
      <c r="B118" s="320"/>
      <c r="C118" s="321"/>
      <c r="D118" s="304" t="s">
        <v>191</v>
      </c>
      <c r="E118" s="233">
        <v>2.4</v>
      </c>
      <c r="F118" s="233">
        <v>2.4</v>
      </c>
      <c r="G118" s="230">
        <v>2</v>
      </c>
      <c r="H118" s="232">
        <v>0.3</v>
      </c>
      <c r="I118" s="120"/>
      <c r="J118" s="120"/>
      <c r="K118" s="120"/>
    </row>
    <row r="119" spans="1:11" ht="16.5" customHeight="1" x14ac:dyDescent="0.25">
      <c r="A119" s="319" t="s">
        <v>119</v>
      </c>
      <c r="B119" s="320"/>
      <c r="C119" s="321"/>
      <c r="D119" s="304" t="s">
        <v>191</v>
      </c>
      <c r="E119" s="233">
        <v>2.4</v>
      </c>
      <c r="F119" s="233">
        <v>2.4</v>
      </c>
      <c r="G119" s="230">
        <v>2</v>
      </c>
      <c r="H119" s="232">
        <v>0.3</v>
      </c>
      <c r="I119" s="120"/>
      <c r="J119" s="120"/>
      <c r="K119" s="120"/>
    </row>
    <row r="120" spans="1:11" ht="16.5" customHeight="1" x14ac:dyDescent="0.25">
      <c r="A120" s="319" t="s">
        <v>179</v>
      </c>
      <c r="B120" s="320"/>
      <c r="C120" s="321"/>
      <c r="D120" s="304" t="s">
        <v>191</v>
      </c>
      <c r="E120" s="233">
        <v>2.4</v>
      </c>
      <c r="F120" s="233">
        <v>2.4</v>
      </c>
      <c r="G120" s="230">
        <v>2</v>
      </c>
      <c r="H120" s="232">
        <v>0.3</v>
      </c>
      <c r="I120" s="120"/>
      <c r="J120" s="120"/>
      <c r="K120" s="120"/>
    </row>
    <row r="121" spans="1:11" ht="16.5" customHeight="1" x14ac:dyDescent="0.25">
      <c r="A121" s="319" t="s">
        <v>123</v>
      </c>
      <c r="B121" s="320"/>
      <c r="C121" s="321"/>
      <c r="D121" s="304" t="s">
        <v>191</v>
      </c>
      <c r="E121" s="233">
        <v>2.4</v>
      </c>
      <c r="F121" s="233">
        <v>2.4</v>
      </c>
      <c r="G121" s="230">
        <v>2</v>
      </c>
      <c r="H121" s="232">
        <v>0.3</v>
      </c>
      <c r="I121" s="120"/>
      <c r="J121" s="120"/>
      <c r="K121" s="120"/>
    </row>
    <row r="122" spans="1:11" ht="16.5" customHeight="1" x14ac:dyDescent="0.25">
      <c r="A122" s="319" t="s">
        <v>125</v>
      </c>
      <c r="B122" s="320"/>
      <c r="C122" s="321"/>
      <c r="D122" s="304" t="s">
        <v>191</v>
      </c>
      <c r="E122" s="233">
        <v>2.4</v>
      </c>
      <c r="F122" s="233">
        <v>2.4</v>
      </c>
      <c r="G122" s="230">
        <v>2</v>
      </c>
      <c r="H122" s="232">
        <v>0.3</v>
      </c>
      <c r="I122" s="120"/>
      <c r="J122" s="120"/>
      <c r="K122" s="120"/>
    </row>
    <row r="123" spans="1:11" ht="16.5" customHeight="1" x14ac:dyDescent="0.25">
      <c r="A123" s="319" t="s">
        <v>127</v>
      </c>
      <c r="B123" s="320"/>
      <c r="C123" s="321"/>
      <c r="D123" s="304" t="s">
        <v>191</v>
      </c>
      <c r="E123" s="233">
        <v>2.4</v>
      </c>
      <c r="F123" s="233">
        <v>2.4</v>
      </c>
      <c r="G123" s="230">
        <v>2</v>
      </c>
      <c r="H123" s="232">
        <v>0.3</v>
      </c>
      <c r="I123" s="120"/>
      <c r="J123" s="120"/>
      <c r="K123" s="120"/>
    </row>
    <row r="124" spans="1:11" ht="16.5" customHeight="1" x14ac:dyDescent="0.25">
      <c r="A124" s="319" t="s">
        <v>129</v>
      </c>
      <c r="B124" s="320"/>
      <c r="C124" s="321"/>
      <c r="D124" s="304" t="s">
        <v>191</v>
      </c>
      <c r="E124" s="233">
        <v>2.4</v>
      </c>
      <c r="F124" s="233">
        <v>2.4</v>
      </c>
      <c r="G124" s="230">
        <v>2</v>
      </c>
      <c r="H124" s="232">
        <v>0.3</v>
      </c>
      <c r="I124" s="120"/>
      <c r="J124" s="120"/>
      <c r="K124" s="120"/>
    </row>
    <row r="125" spans="1:11" ht="16.5" customHeight="1" x14ac:dyDescent="0.25">
      <c r="A125" s="319" t="s">
        <v>131</v>
      </c>
      <c r="B125" s="320"/>
      <c r="C125" s="321"/>
      <c r="D125" s="304" t="s">
        <v>191</v>
      </c>
      <c r="E125" s="233">
        <v>2.4</v>
      </c>
      <c r="F125" s="233">
        <v>2.4</v>
      </c>
      <c r="G125" s="230">
        <v>2</v>
      </c>
      <c r="H125" s="232">
        <v>0.3</v>
      </c>
      <c r="I125" s="120"/>
      <c r="J125" s="120"/>
      <c r="K125" s="120"/>
    </row>
    <row r="126" spans="1:11" ht="16.5" customHeight="1" x14ac:dyDescent="0.25">
      <c r="A126" s="319" t="s">
        <v>133</v>
      </c>
      <c r="B126" s="320"/>
      <c r="C126" s="321"/>
      <c r="D126" s="306" t="s">
        <v>191</v>
      </c>
      <c r="E126" s="233">
        <v>2.4</v>
      </c>
      <c r="F126" s="233">
        <v>2.4</v>
      </c>
      <c r="G126" s="230">
        <v>2</v>
      </c>
      <c r="H126" s="232">
        <v>0.3</v>
      </c>
      <c r="I126" s="120"/>
      <c r="J126" s="120"/>
      <c r="K126" s="120"/>
    </row>
    <row r="127" spans="1:11" ht="16.5" customHeight="1" x14ac:dyDescent="0.25">
      <c r="A127" s="319" t="s">
        <v>135</v>
      </c>
      <c r="B127" s="320"/>
      <c r="C127" s="367"/>
      <c r="D127" s="366" t="s">
        <v>191</v>
      </c>
      <c r="E127" s="307">
        <v>2.4</v>
      </c>
      <c r="F127" s="233">
        <v>2.4</v>
      </c>
      <c r="G127" s="230">
        <v>2</v>
      </c>
      <c r="H127" s="232">
        <v>0.3</v>
      </c>
      <c r="I127" s="120"/>
      <c r="J127" s="120"/>
      <c r="K127" s="120"/>
    </row>
    <row r="128" spans="1:11" ht="16.5" customHeight="1" x14ac:dyDescent="0.25">
      <c r="A128" s="319" t="s">
        <v>137</v>
      </c>
      <c r="B128" s="320"/>
      <c r="C128" s="321"/>
      <c r="D128" s="316" t="s">
        <v>191</v>
      </c>
      <c r="E128" s="233">
        <v>2.4</v>
      </c>
      <c r="F128" s="233">
        <v>2.4</v>
      </c>
      <c r="G128" s="230">
        <v>2</v>
      </c>
      <c r="H128" s="232">
        <v>0.3</v>
      </c>
      <c r="I128" s="120"/>
      <c r="J128" s="120"/>
      <c r="K128" s="120"/>
    </row>
    <row r="129" spans="1:11" ht="16.5" customHeight="1" x14ac:dyDescent="0.25">
      <c r="A129" s="319" t="s">
        <v>198</v>
      </c>
      <c r="B129" s="320"/>
      <c r="C129" s="321"/>
      <c r="D129" s="304" t="s">
        <v>191</v>
      </c>
      <c r="E129" s="233">
        <v>2.4</v>
      </c>
      <c r="F129" s="233">
        <v>2.4</v>
      </c>
      <c r="G129" s="230">
        <v>2</v>
      </c>
      <c r="H129" s="232">
        <v>0.3</v>
      </c>
      <c r="I129" s="120"/>
      <c r="J129" s="120"/>
      <c r="K129" s="120"/>
    </row>
    <row r="130" spans="1:11" ht="16.5" customHeight="1" x14ac:dyDescent="0.25">
      <c r="A130" s="319" t="s">
        <v>196</v>
      </c>
      <c r="B130" s="320"/>
      <c r="C130" s="321"/>
      <c r="D130" s="304" t="s">
        <v>191</v>
      </c>
      <c r="E130" s="233">
        <v>2.4</v>
      </c>
      <c r="F130" s="233">
        <v>2.4</v>
      </c>
      <c r="G130" s="230">
        <v>2</v>
      </c>
      <c r="H130" s="232">
        <v>0.3</v>
      </c>
      <c r="I130" s="120"/>
      <c r="J130" s="120"/>
      <c r="K130" s="120"/>
    </row>
    <row r="131" spans="1:11" ht="16.5" customHeight="1" x14ac:dyDescent="0.25">
      <c r="A131" s="319" t="s">
        <v>197</v>
      </c>
      <c r="B131" s="320"/>
      <c r="C131" s="321"/>
      <c r="D131" s="304" t="s">
        <v>191</v>
      </c>
      <c r="E131" s="233">
        <v>2.4</v>
      </c>
      <c r="F131" s="233">
        <v>2.4</v>
      </c>
      <c r="G131" s="230">
        <v>2</v>
      </c>
      <c r="H131" s="232">
        <v>0.3</v>
      </c>
      <c r="I131" s="120"/>
      <c r="J131" s="120"/>
      <c r="K131" s="120"/>
    </row>
    <row r="132" spans="1:11" ht="16.5" customHeight="1" x14ac:dyDescent="0.25">
      <c r="A132" s="319" t="s">
        <v>199</v>
      </c>
      <c r="B132" s="320"/>
      <c r="C132" s="321"/>
      <c r="D132" s="304" t="s">
        <v>191</v>
      </c>
      <c r="E132" s="233">
        <v>2.4</v>
      </c>
      <c r="F132" s="233">
        <v>2.4</v>
      </c>
      <c r="G132" s="230">
        <v>2</v>
      </c>
      <c r="H132" s="232">
        <v>0.3</v>
      </c>
      <c r="I132" s="120"/>
      <c r="J132" s="120"/>
      <c r="K132" s="120"/>
    </row>
    <row r="133" spans="1:11" ht="16.5" customHeight="1" x14ac:dyDescent="0.25">
      <c r="A133" s="319" t="s">
        <v>195</v>
      </c>
      <c r="B133" s="320"/>
      <c r="C133" s="321"/>
      <c r="D133" s="304" t="s">
        <v>191</v>
      </c>
      <c r="E133" s="233">
        <v>2.4</v>
      </c>
      <c r="F133" s="233">
        <v>2.4</v>
      </c>
      <c r="G133" s="230">
        <v>2</v>
      </c>
      <c r="H133" s="232">
        <v>0.3</v>
      </c>
      <c r="I133" s="120"/>
      <c r="J133" s="120"/>
      <c r="K133" s="120"/>
    </row>
    <row r="134" spans="1:11" ht="16.5" customHeight="1" x14ac:dyDescent="0.25">
      <c r="A134" s="319" t="s">
        <v>205</v>
      </c>
      <c r="B134" s="320"/>
      <c r="C134" s="321"/>
      <c r="D134" s="304" t="s">
        <v>191</v>
      </c>
      <c r="E134" s="233">
        <v>2.4</v>
      </c>
      <c r="F134" s="233">
        <v>2.4</v>
      </c>
      <c r="G134" s="230">
        <v>2</v>
      </c>
      <c r="H134" s="232">
        <v>0.3</v>
      </c>
      <c r="I134" s="120"/>
      <c r="J134" s="120"/>
      <c r="K134" s="120"/>
    </row>
    <row r="135" spans="1:11" ht="16.5" customHeight="1" x14ac:dyDescent="0.25">
      <c r="A135" s="319" t="s">
        <v>201</v>
      </c>
      <c r="B135" s="320"/>
      <c r="C135" s="315"/>
      <c r="D135" s="304" t="s">
        <v>191</v>
      </c>
      <c r="E135" s="233">
        <v>2.4</v>
      </c>
      <c r="F135" s="233">
        <v>2.4</v>
      </c>
      <c r="G135" s="230">
        <v>2</v>
      </c>
      <c r="H135" s="232">
        <v>0.3</v>
      </c>
      <c r="I135" s="120"/>
      <c r="J135" s="120"/>
      <c r="K135" s="120"/>
    </row>
    <row r="136" spans="1:11" ht="16.5" customHeight="1" x14ac:dyDescent="0.25">
      <c r="A136" s="319" t="s">
        <v>202</v>
      </c>
      <c r="B136" s="321"/>
      <c r="C136" s="299"/>
      <c r="D136" s="135" t="s">
        <v>191</v>
      </c>
      <c r="E136" s="233">
        <v>2.4</v>
      </c>
      <c r="F136" s="233">
        <v>2.4</v>
      </c>
      <c r="G136" s="230">
        <v>2</v>
      </c>
      <c r="H136" s="232">
        <v>0.3</v>
      </c>
      <c r="I136" s="120"/>
      <c r="J136" s="120"/>
      <c r="K136" s="120"/>
    </row>
    <row r="137" spans="1:11" ht="16.5" customHeight="1" thickBot="1" x14ac:dyDescent="0.3">
      <c r="A137" s="317" t="s">
        <v>203</v>
      </c>
      <c r="B137" s="318"/>
      <c r="C137" s="315"/>
      <c r="D137" s="304" t="s">
        <v>191</v>
      </c>
      <c r="E137" s="233">
        <v>2.4</v>
      </c>
      <c r="F137" s="233">
        <v>2.4</v>
      </c>
      <c r="G137" s="230">
        <v>2</v>
      </c>
      <c r="H137" s="232">
        <v>0.3</v>
      </c>
      <c r="I137" s="120"/>
      <c r="J137" s="120"/>
      <c r="K137" s="120"/>
    </row>
    <row r="138" spans="1:11" ht="16.5" customHeight="1" thickBot="1" x14ac:dyDescent="0.3">
      <c r="A138" s="313" t="s">
        <v>686</v>
      </c>
      <c r="B138" s="331"/>
      <c r="C138" s="332"/>
      <c r="D138" s="365" t="s">
        <v>191</v>
      </c>
      <c r="E138" s="307">
        <v>1.6</v>
      </c>
      <c r="F138" s="233">
        <v>1.6</v>
      </c>
      <c r="G138" s="230">
        <v>2</v>
      </c>
      <c r="H138" s="232">
        <v>0.2</v>
      </c>
      <c r="I138" s="131"/>
      <c r="J138" s="120"/>
      <c r="K138" s="120"/>
    </row>
    <row r="139" spans="1:11" ht="16.5" customHeight="1" thickBot="1" x14ac:dyDescent="0.3">
      <c r="A139" s="322" t="s">
        <v>687</v>
      </c>
      <c r="B139" s="303"/>
      <c r="C139" s="303"/>
      <c r="D139" s="365" t="s">
        <v>191</v>
      </c>
      <c r="E139" s="307">
        <v>1.6</v>
      </c>
      <c r="F139" s="233">
        <v>1.6</v>
      </c>
      <c r="G139" s="230">
        <v>2</v>
      </c>
      <c r="H139" s="232">
        <v>0.2</v>
      </c>
      <c r="I139" s="131"/>
      <c r="J139" s="120"/>
      <c r="K139" s="120"/>
    </row>
    <row r="140" spans="1:11" ht="16.5" customHeight="1" thickBot="1" x14ac:dyDescent="0.3">
      <c r="A140" s="317" t="s">
        <v>688</v>
      </c>
      <c r="B140" s="324"/>
      <c r="C140" s="324"/>
      <c r="D140" s="365" t="s">
        <v>191</v>
      </c>
      <c r="E140" s="307">
        <v>1.6</v>
      </c>
      <c r="F140" s="233">
        <v>1.6</v>
      </c>
      <c r="G140" s="230">
        <v>2</v>
      </c>
      <c r="H140" s="232">
        <v>0.2</v>
      </c>
      <c r="I140" s="131"/>
      <c r="J140" s="120"/>
      <c r="K140" s="120"/>
    </row>
    <row r="141" spans="1:11" ht="16.5" customHeight="1" thickBot="1" x14ac:dyDescent="0.3">
      <c r="A141" s="508" t="s">
        <v>206</v>
      </c>
      <c r="B141" s="311"/>
      <c r="C141" s="312"/>
      <c r="D141" s="135" t="s">
        <v>191</v>
      </c>
      <c r="E141" s="233">
        <v>2.4</v>
      </c>
      <c r="F141" s="233">
        <v>2.4</v>
      </c>
      <c r="G141" s="230">
        <v>2</v>
      </c>
      <c r="H141" s="232">
        <v>0.3</v>
      </c>
      <c r="I141" s="120"/>
      <c r="J141" s="120"/>
      <c r="K141" s="120"/>
    </row>
    <row r="142" spans="1:11" x14ac:dyDescent="0.25">
      <c r="A142" s="466" t="s">
        <v>50</v>
      </c>
      <c r="B142" s="447"/>
      <c r="C142" s="447"/>
      <c r="D142" s="448"/>
      <c r="E142" s="189"/>
      <c r="F142" s="190"/>
      <c r="G142" s="191"/>
      <c r="H142" s="139"/>
      <c r="I142" s="120"/>
      <c r="J142" s="120"/>
      <c r="K142" s="120"/>
    </row>
    <row r="143" spans="1:11" ht="33" customHeight="1" x14ac:dyDescent="0.25">
      <c r="A143" s="467" t="s">
        <v>207</v>
      </c>
      <c r="B143" s="450"/>
      <c r="C143" s="451"/>
      <c r="D143" s="135" t="s">
        <v>191</v>
      </c>
      <c r="E143" s="135">
        <v>8</v>
      </c>
      <c r="F143" s="227">
        <v>8</v>
      </c>
      <c r="G143" s="230">
        <v>2</v>
      </c>
      <c r="H143" s="229">
        <v>1</v>
      </c>
      <c r="I143" s="120"/>
      <c r="J143" s="120"/>
      <c r="K143" s="120"/>
    </row>
    <row r="144" spans="1:11" x14ac:dyDescent="0.25">
      <c r="A144" s="468" t="s">
        <v>208</v>
      </c>
      <c r="B144" s="469"/>
      <c r="C144" s="469"/>
      <c r="D144" s="470"/>
      <c r="E144" s="140">
        <v>64</v>
      </c>
      <c r="F144" s="140">
        <v>64</v>
      </c>
      <c r="G144" s="141">
        <v>2</v>
      </c>
      <c r="H144" s="142">
        <v>8</v>
      </c>
      <c r="I144" s="120"/>
      <c r="J144" s="120"/>
      <c r="K144" s="120"/>
    </row>
    <row r="145" spans="1:11" x14ac:dyDescent="0.25">
      <c r="A145" s="458" t="s">
        <v>209</v>
      </c>
      <c r="B145" s="459"/>
      <c r="C145" s="459"/>
      <c r="D145" s="120"/>
      <c r="E145" s="120"/>
      <c r="F145" s="120"/>
      <c r="G145" s="120"/>
      <c r="H145" s="136"/>
      <c r="I145" s="120"/>
      <c r="J145" s="120"/>
      <c r="K145" s="120"/>
    </row>
    <row r="146" spans="1:11" ht="84" customHeight="1" x14ac:dyDescent="0.25">
      <c r="I146" s="120"/>
      <c r="J146" s="120"/>
      <c r="K146" s="120"/>
    </row>
    <row r="147" spans="1:11" x14ac:dyDescent="0.25">
      <c r="A147" s="137"/>
      <c r="B147" s="120"/>
      <c r="C147" s="120"/>
      <c r="D147" s="120"/>
      <c r="E147" s="120"/>
      <c r="F147" s="120"/>
      <c r="G147" s="120"/>
      <c r="H147" s="121"/>
      <c r="I147" s="120"/>
      <c r="J147" s="120"/>
      <c r="K147" s="120"/>
    </row>
    <row r="148" spans="1:11" x14ac:dyDescent="0.25">
      <c r="A148" s="463"/>
      <c r="B148" s="464"/>
      <c r="C148" s="464"/>
      <c r="D148" s="464"/>
      <c r="E148" s="464"/>
      <c r="F148" s="464"/>
      <c r="G148" s="464"/>
      <c r="H148" s="465"/>
    </row>
  </sheetData>
  <mergeCells count="25">
    <mergeCell ref="A148:H148"/>
    <mergeCell ref="A142:D142"/>
    <mergeCell ref="A143:C143"/>
    <mergeCell ref="A144:D144"/>
    <mergeCell ref="A78:C78"/>
    <mergeCell ref="A115:C115"/>
    <mergeCell ref="A114:C114"/>
    <mergeCell ref="A64:C64"/>
    <mergeCell ref="A65:C65"/>
    <mergeCell ref="A66:D66"/>
    <mergeCell ref="A104:D104"/>
    <mergeCell ref="A145:C145"/>
    <mergeCell ref="A77:C77"/>
    <mergeCell ref="A63:C63"/>
    <mergeCell ref="A2:K2"/>
    <mergeCell ref="A7:B7"/>
    <mergeCell ref="A9:D9"/>
    <mergeCell ref="G9:I9"/>
    <mergeCell ref="A16:E16"/>
    <mergeCell ref="G16:K16"/>
    <mergeCell ref="B57:H57"/>
    <mergeCell ref="A59:C59"/>
    <mergeCell ref="A60:D60"/>
    <mergeCell ref="A61:C61"/>
    <mergeCell ref="A62:D62"/>
  </mergeCells>
  <dataValidations count="1">
    <dataValidation type="list" allowBlank="1" showErrorMessage="1" sqref="D61 D63:D65 D67:D103 D143 D105:D141" xr:uid="{4460D904-E882-4BE3-9589-264F012B0164}">
      <formula1>"Analista QA,Desarollador,Líder de Negocio"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7911-6194-41C9-903E-E713ACFCA3AC}">
  <dimension ref="A1:L44"/>
  <sheetViews>
    <sheetView topLeftCell="G37" zoomScale="71" zoomScaleNormal="71" workbookViewId="0">
      <selection activeCell="G40" sqref="G40"/>
    </sheetView>
  </sheetViews>
  <sheetFormatPr baseColWidth="10" defaultColWidth="0" defaultRowHeight="15.75" zeroHeight="1" x14ac:dyDescent="0.25"/>
  <cols>
    <col min="1" max="1" width="33.625" style="251" bestFit="1" customWidth="1"/>
    <col min="2" max="2" width="14.375" style="13" bestFit="1" customWidth="1"/>
    <col min="3" max="3" width="14.125" style="13" customWidth="1"/>
    <col min="4" max="4" width="10" style="13" customWidth="1"/>
    <col min="5" max="5" width="8.125" style="13" bestFit="1" customWidth="1"/>
    <col min="6" max="6" width="14.625" style="13" bestFit="1" customWidth="1"/>
    <col min="7" max="7" width="20.875" style="13" bestFit="1" customWidth="1"/>
    <col min="8" max="8" width="36" style="13" bestFit="1" customWidth="1"/>
    <col min="9" max="9" width="40.375" style="13" customWidth="1"/>
    <col min="10" max="10" width="36" style="13" bestFit="1" customWidth="1"/>
    <col min="11" max="11" width="32" style="13" customWidth="1"/>
    <col min="12" max="12" width="38.625" style="13" customWidth="1"/>
    <col min="13" max="16384" width="11" style="13" hidden="1"/>
  </cols>
  <sheetData>
    <row r="1" spans="1:12" x14ac:dyDescent="0.25">
      <c r="A1" s="471" t="s">
        <v>210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2" ht="31.5" x14ac:dyDescent="0.25">
      <c r="A2" s="250" t="s">
        <v>211</v>
      </c>
      <c r="B2" s="234" t="s">
        <v>212</v>
      </c>
      <c r="C2" s="234" t="s">
        <v>213</v>
      </c>
      <c r="D2" s="234" t="s">
        <v>77</v>
      </c>
      <c r="E2" s="234" t="s">
        <v>214</v>
      </c>
      <c r="F2" s="234" t="s">
        <v>215</v>
      </c>
      <c r="G2" s="234" t="s">
        <v>79</v>
      </c>
      <c r="H2" s="234" t="s">
        <v>216</v>
      </c>
      <c r="I2" s="234" t="s">
        <v>217</v>
      </c>
      <c r="J2" s="234" t="s">
        <v>218</v>
      </c>
      <c r="K2" s="234" t="s">
        <v>219</v>
      </c>
      <c r="L2" s="234" t="s">
        <v>220</v>
      </c>
    </row>
    <row r="3" spans="1:12" ht="63" x14ac:dyDescent="0.25">
      <c r="A3" s="264">
        <v>45977</v>
      </c>
      <c r="B3" s="265" t="s">
        <v>221</v>
      </c>
      <c r="C3" s="265" t="s">
        <v>222</v>
      </c>
      <c r="D3" s="265" t="s">
        <v>83</v>
      </c>
      <c r="E3" s="265" t="s">
        <v>160</v>
      </c>
      <c r="F3" s="265" t="s">
        <v>84</v>
      </c>
      <c r="G3" s="265" t="s">
        <v>223</v>
      </c>
      <c r="H3" s="376" t="s">
        <v>86</v>
      </c>
      <c r="I3" s="389" t="s">
        <v>224</v>
      </c>
      <c r="J3" s="390" t="s">
        <v>225</v>
      </c>
      <c r="K3" s="371" t="s">
        <v>226</v>
      </c>
      <c r="L3" s="266" t="s">
        <v>227</v>
      </c>
    </row>
    <row r="4" spans="1:12" ht="49.5" customHeight="1" x14ac:dyDescent="0.25">
      <c r="A4" s="264">
        <v>45977</v>
      </c>
      <c r="B4" s="192" t="s">
        <v>221</v>
      </c>
      <c r="C4" s="265" t="s">
        <v>222</v>
      </c>
      <c r="D4" s="265" t="s">
        <v>88</v>
      </c>
      <c r="E4" s="192" t="s">
        <v>160</v>
      </c>
      <c r="F4" s="192" t="s">
        <v>84</v>
      </c>
      <c r="G4" s="369" t="s">
        <v>223</v>
      </c>
      <c r="H4" s="385" t="s">
        <v>170</v>
      </c>
      <c r="I4" s="384" t="s">
        <v>228</v>
      </c>
      <c r="J4" s="375" t="s">
        <v>229</v>
      </c>
      <c r="K4" s="192" t="s">
        <v>230</v>
      </c>
      <c r="L4" s="267" t="s">
        <v>231</v>
      </c>
    </row>
    <row r="5" spans="1:12" ht="38.25" customHeight="1" x14ac:dyDescent="0.25">
      <c r="A5" s="264">
        <v>45977</v>
      </c>
      <c r="B5" s="192" t="s">
        <v>221</v>
      </c>
      <c r="C5" s="265" t="s">
        <v>222</v>
      </c>
      <c r="D5" s="265" t="s">
        <v>91</v>
      </c>
      <c r="E5" s="192" t="s">
        <v>160</v>
      </c>
      <c r="F5" s="192" t="s">
        <v>84</v>
      </c>
      <c r="G5" s="369" t="s">
        <v>223</v>
      </c>
      <c r="H5" s="378" t="s">
        <v>171</v>
      </c>
      <c r="I5" s="375" t="s">
        <v>232</v>
      </c>
      <c r="J5" s="192" t="s">
        <v>233</v>
      </c>
      <c r="K5" s="192" t="s">
        <v>234</v>
      </c>
      <c r="L5" s="267" t="s">
        <v>235</v>
      </c>
    </row>
    <row r="6" spans="1:12" ht="42" customHeight="1" x14ac:dyDescent="0.25">
      <c r="A6" s="264">
        <v>45977</v>
      </c>
      <c r="B6" s="192" t="s">
        <v>221</v>
      </c>
      <c r="C6" s="265" t="s">
        <v>222</v>
      </c>
      <c r="D6" s="265" t="s">
        <v>93</v>
      </c>
      <c r="E6" s="192" t="s">
        <v>160</v>
      </c>
      <c r="F6" s="192" t="s">
        <v>84</v>
      </c>
      <c r="G6" s="265" t="s">
        <v>223</v>
      </c>
      <c r="H6" s="376" t="s">
        <v>236</v>
      </c>
      <c r="I6" s="192" t="s">
        <v>237</v>
      </c>
      <c r="J6" s="192" t="s">
        <v>238</v>
      </c>
      <c r="K6" s="192" t="s">
        <v>239</v>
      </c>
      <c r="L6" s="267" t="s">
        <v>240</v>
      </c>
    </row>
    <row r="7" spans="1:12" ht="49.5" customHeight="1" x14ac:dyDescent="0.25">
      <c r="A7" s="264">
        <v>45977</v>
      </c>
      <c r="B7" s="192" t="s">
        <v>221</v>
      </c>
      <c r="C7" s="265" t="s">
        <v>222</v>
      </c>
      <c r="D7" s="265" t="s">
        <v>95</v>
      </c>
      <c r="E7" s="192" t="s">
        <v>160</v>
      </c>
      <c r="F7" s="192" t="s">
        <v>84</v>
      </c>
      <c r="G7" s="369" t="s">
        <v>223</v>
      </c>
      <c r="H7" s="377" t="s">
        <v>96</v>
      </c>
      <c r="I7" s="370" t="s">
        <v>241</v>
      </c>
      <c r="J7" s="192" t="s">
        <v>242</v>
      </c>
      <c r="K7" s="192" t="s">
        <v>243</v>
      </c>
      <c r="L7" s="267" t="s">
        <v>244</v>
      </c>
    </row>
    <row r="8" spans="1:12" ht="71.25" customHeight="1" x14ac:dyDescent="0.25">
      <c r="A8" s="264">
        <v>45977</v>
      </c>
      <c r="B8" s="192" t="s">
        <v>221</v>
      </c>
      <c r="C8" s="265" t="s">
        <v>222</v>
      </c>
      <c r="D8" s="265" t="s">
        <v>97</v>
      </c>
      <c r="E8" s="192" t="s">
        <v>160</v>
      </c>
      <c r="F8" s="192" t="s">
        <v>84</v>
      </c>
      <c r="G8" s="265" t="s">
        <v>223</v>
      </c>
      <c r="H8" s="376" t="s">
        <v>173</v>
      </c>
      <c r="I8" s="192" t="s">
        <v>245</v>
      </c>
      <c r="J8" s="192" t="s">
        <v>246</v>
      </c>
      <c r="K8" s="192" t="s">
        <v>247</v>
      </c>
      <c r="L8" s="267" t="s">
        <v>248</v>
      </c>
    </row>
    <row r="9" spans="1:12" ht="51.75" customHeight="1" x14ac:dyDescent="0.25">
      <c r="A9" s="264">
        <v>45977</v>
      </c>
      <c r="B9" s="192" t="s">
        <v>221</v>
      </c>
      <c r="C9" s="265" t="s">
        <v>222</v>
      </c>
      <c r="D9" s="265" t="s">
        <v>99</v>
      </c>
      <c r="E9" s="192" t="s">
        <v>160</v>
      </c>
      <c r="F9" s="192" t="s">
        <v>84</v>
      </c>
      <c r="G9" s="265" t="s">
        <v>223</v>
      </c>
      <c r="H9" s="379" t="s">
        <v>174</v>
      </c>
      <c r="I9" s="192" t="s">
        <v>249</v>
      </c>
      <c r="J9" s="192" t="s">
        <v>250</v>
      </c>
      <c r="K9" s="192" t="s">
        <v>251</v>
      </c>
      <c r="L9" s="267" t="s">
        <v>252</v>
      </c>
    </row>
    <row r="10" spans="1:12" ht="63" x14ac:dyDescent="0.25">
      <c r="A10" s="264">
        <v>45977</v>
      </c>
      <c r="B10" s="192" t="s">
        <v>221</v>
      </c>
      <c r="C10" s="265" t="s">
        <v>222</v>
      </c>
      <c r="D10" s="265" t="s">
        <v>101</v>
      </c>
      <c r="E10" s="192" t="s">
        <v>160</v>
      </c>
      <c r="F10" s="192" t="s">
        <v>84</v>
      </c>
      <c r="G10" s="265" t="s">
        <v>223</v>
      </c>
      <c r="H10" s="379" t="s">
        <v>175</v>
      </c>
      <c r="I10" s="192" t="s">
        <v>253</v>
      </c>
      <c r="J10" s="192" t="s">
        <v>254</v>
      </c>
      <c r="K10" s="192" t="s">
        <v>255</v>
      </c>
      <c r="L10" s="267" t="s">
        <v>256</v>
      </c>
    </row>
    <row r="11" spans="1:12" ht="68.25" customHeight="1" x14ac:dyDescent="0.25">
      <c r="A11" s="264">
        <v>45977</v>
      </c>
      <c r="B11" s="192" t="s">
        <v>221</v>
      </c>
      <c r="C11" s="265" t="s">
        <v>222</v>
      </c>
      <c r="D11" s="265" t="s">
        <v>104</v>
      </c>
      <c r="E11" s="192" t="s">
        <v>160</v>
      </c>
      <c r="F11" s="192" t="s">
        <v>84</v>
      </c>
      <c r="G11" s="265" t="s">
        <v>223</v>
      </c>
      <c r="H11" s="379" t="s">
        <v>257</v>
      </c>
      <c r="I11" s="192" t="s">
        <v>258</v>
      </c>
      <c r="J11" s="192" t="s">
        <v>254</v>
      </c>
      <c r="K11" s="192" t="s">
        <v>259</v>
      </c>
      <c r="L11" s="267" t="s">
        <v>260</v>
      </c>
    </row>
    <row r="12" spans="1:12" ht="36.75" customHeight="1" x14ac:dyDescent="0.25">
      <c r="A12" s="264">
        <v>45977</v>
      </c>
      <c r="B12" s="268" t="s">
        <v>221</v>
      </c>
      <c r="C12" s="265" t="s">
        <v>222</v>
      </c>
      <c r="D12" s="265" t="s">
        <v>106</v>
      </c>
      <c r="E12" s="268" t="s">
        <v>261</v>
      </c>
      <c r="F12" s="268" t="s">
        <v>84</v>
      </c>
      <c r="G12" s="265" t="s">
        <v>223</v>
      </c>
      <c r="H12" s="380" t="s">
        <v>262</v>
      </c>
      <c r="I12" s="192" t="s">
        <v>263</v>
      </c>
      <c r="J12" s="192" t="s">
        <v>254</v>
      </c>
      <c r="K12" s="192" t="s">
        <v>264</v>
      </c>
      <c r="L12" s="267" t="s">
        <v>265</v>
      </c>
    </row>
    <row r="13" spans="1:12" ht="51" customHeight="1" x14ac:dyDescent="0.25">
      <c r="A13" s="264">
        <v>45977</v>
      </c>
      <c r="B13" s="268" t="s">
        <v>221</v>
      </c>
      <c r="C13" s="265" t="s">
        <v>222</v>
      </c>
      <c r="D13" s="265" t="s">
        <v>108</v>
      </c>
      <c r="E13" s="268" t="s">
        <v>261</v>
      </c>
      <c r="F13" s="268" t="s">
        <v>84</v>
      </c>
      <c r="G13" s="265" t="s">
        <v>223</v>
      </c>
      <c r="H13" s="380" t="s">
        <v>266</v>
      </c>
      <c r="I13" s="192" t="s">
        <v>267</v>
      </c>
      <c r="J13" s="192" t="s">
        <v>268</v>
      </c>
      <c r="K13" s="192" t="s">
        <v>269</v>
      </c>
      <c r="L13" s="267" t="s">
        <v>270</v>
      </c>
    </row>
    <row r="14" spans="1:12" ht="44.25" customHeight="1" x14ac:dyDescent="0.25">
      <c r="A14" s="264">
        <v>45977</v>
      </c>
      <c r="B14" s="268" t="s">
        <v>221</v>
      </c>
      <c r="C14" s="265" t="s">
        <v>222</v>
      </c>
      <c r="D14" s="265" t="s">
        <v>110</v>
      </c>
      <c r="E14" s="268" t="s">
        <v>261</v>
      </c>
      <c r="F14" s="268" t="s">
        <v>84</v>
      </c>
      <c r="G14" s="265" t="s">
        <v>223</v>
      </c>
      <c r="H14" s="380" t="s">
        <v>111</v>
      </c>
      <c r="I14" s="192" t="s">
        <v>271</v>
      </c>
      <c r="J14" s="192" t="s">
        <v>272</v>
      </c>
      <c r="K14" s="192" t="s">
        <v>272</v>
      </c>
      <c r="L14" s="267" t="s">
        <v>273</v>
      </c>
    </row>
    <row r="15" spans="1:12" ht="50.25" customHeight="1" x14ac:dyDescent="0.25">
      <c r="A15" s="264">
        <v>45977</v>
      </c>
      <c r="B15" s="265" t="s">
        <v>221</v>
      </c>
      <c r="C15" s="265" t="s">
        <v>222</v>
      </c>
      <c r="D15" s="265" t="s">
        <v>112</v>
      </c>
      <c r="E15" s="265" t="s">
        <v>160</v>
      </c>
      <c r="F15" s="268" t="s">
        <v>113</v>
      </c>
      <c r="G15" s="369" t="s">
        <v>223</v>
      </c>
      <c r="H15" s="377" t="s">
        <v>115</v>
      </c>
      <c r="I15" s="371" t="s">
        <v>274</v>
      </c>
      <c r="J15" s="265" t="s">
        <v>275</v>
      </c>
      <c r="K15" s="265" t="s">
        <v>276</v>
      </c>
      <c r="L15" s="266" t="s">
        <v>277</v>
      </c>
    </row>
    <row r="16" spans="1:12" ht="39.75" customHeight="1" x14ac:dyDescent="0.25">
      <c r="A16" s="264">
        <v>45977</v>
      </c>
      <c r="B16" s="192" t="s">
        <v>221</v>
      </c>
      <c r="C16" s="265" t="s">
        <v>222</v>
      </c>
      <c r="D16" s="265" t="s">
        <v>116</v>
      </c>
      <c r="E16" s="192" t="s">
        <v>160</v>
      </c>
      <c r="F16" s="268" t="s">
        <v>113</v>
      </c>
      <c r="G16" s="265" t="s">
        <v>223</v>
      </c>
      <c r="H16" s="376" t="s">
        <v>117</v>
      </c>
      <c r="I16" s="192" t="s">
        <v>278</v>
      </c>
      <c r="J16" s="192" t="s">
        <v>279</v>
      </c>
      <c r="K16" s="192" t="s">
        <v>280</v>
      </c>
      <c r="L16" s="267" t="s">
        <v>281</v>
      </c>
    </row>
    <row r="17" spans="1:12" ht="43.5" customHeight="1" x14ac:dyDescent="0.25">
      <c r="A17" s="264">
        <v>45977</v>
      </c>
      <c r="B17" s="192" t="s">
        <v>221</v>
      </c>
      <c r="C17" s="265" t="s">
        <v>222</v>
      </c>
      <c r="D17" s="265" t="s">
        <v>118</v>
      </c>
      <c r="E17" s="192" t="s">
        <v>160</v>
      </c>
      <c r="F17" s="268" t="s">
        <v>113</v>
      </c>
      <c r="G17" s="265" t="s">
        <v>223</v>
      </c>
      <c r="H17" s="379" t="s">
        <v>119</v>
      </c>
      <c r="I17" s="192" t="s">
        <v>282</v>
      </c>
      <c r="J17" s="192" t="s">
        <v>283</v>
      </c>
      <c r="K17" s="192" t="s">
        <v>284</v>
      </c>
      <c r="L17" s="267" t="s">
        <v>285</v>
      </c>
    </row>
    <row r="18" spans="1:12" ht="69.75" customHeight="1" x14ac:dyDescent="0.25">
      <c r="A18" s="264">
        <v>45977</v>
      </c>
      <c r="B18" s="192" t="s">
        <v>221</v>
      </c>
      <c r="C18" s="265" t="s">
        <v>222</v>
      </c>
      <c r="D18" s="265" t="s">
        <v>120</v>
      </c>
      <c r="E18" s="192" t="s">
        <v>160</v>
      </c>
      <c r="F18" s="268" t="s">
        <v>113</v>
      </c>
      <c r="G18" s="265" t="s">
        <v>223</v>
      </c>
      <c r="H18" s="379" t="s">
        <v>179</v>
      </c>
      <c r="I18" s="192" t="s">
        <v>286</v>
      </c>
      <c r="J18" s="192" t="s">
        <v>283</v>
      </c>
      <c r="K18" s="192" t="s">
        <v>287</v>
      </c>
      <c r="L18" s="267" t="s">
        <v>288</v>
      </c>
    </row>
    <row r="19" spans="1:12" ht="63" x14ac:dyDescent="0.25">
      <c r="A19" s="264">
        <v>45977</v>
      </c>
      <c r="B19" s="192" t="s">
        <v>221</v>
      </c>
      <c r="C19" s="265" t="s">
        <v>222</v>
      </c>
      <c r="D19" s="265" t="s">
        <v>122</v>
      </c>
      <c r="E19" s="192" t="s">
        <v>160</v>
      </c>
      <c r="F19" s="268" t="s">
        <v>113</v>
      </c>
      <c r="G19" s="265" t="s">
        <v>223</v>
      </c>
      <c r="H19" s="379" t="s">
        <v>123</v>
      </c>
      <c r="I19" s="192" t="s">
        <v>289</v>
      </c>
      <c r="J19" s="192" t="s">
        <v>290</v>
      </c>
      <c r="K19" s="192" t="s">
        <v>291</v>
      </c>
      <c r="L19" s="267" t="s">
        <v>292</v>
      </c>
    </row>
    <row r="20" spans="1:12" ht="60" customHeight="1" x14ac:dyDescent="0.25">
      <c r="A20" s="264">
        <v>45977</v>
      </c>
      <c r="B20" s="192" t="s">
        <v>221</v>
      </c>
      <c r="C20" s="265" t="s">
        <v>222</v>
      </c>
      <c r="D20" s="265" t="s">
        <v>124</v>
      </c>
      <c r="E20" s="192" t="s">
        <v>160</v>
      </c>
      <c r="F20" s="268" t="s">
        <v>113</v>
      </c>
      <c r="G20" s="265" t="s">
        <v>223</v>
      </c>
      <c r="H20" s="379" t="s">
        <v>125</v>
      </c>
      <c r="I20" s="192" t="s">
        <v>293</v>
      </c>
      <c r="J20" s="16" t="s">
        <v>294</v>
      </c>
      <c r="K20" s="192" t="s">
        <v>295</v>
      </c>
      <c r="L20" s="267" t="s">
        <v>296</v>
      </c>
    </row>
    <row r="21" spans="1:12" ht="63" x14ac:dyDescent="0.25">
      <c r="A21" s="264">
        <v>45977</v>
      </c>
      <c r="B21" s="265" t="s">
        <v>221</v>
      </c>
      <c r="C21" s="265" t="s">
        <v>222</v>
      </c>
      <c r="D21" s="265" t="s">
        <v>126</v>
      </c>
      <c r="E21" s="265" t="s">
        <v>160</v>
      </c>
      <c r="F21" s="268" t="s">
        <v>113</v>
      </c>
      <c r="G21" s="265" t="s">
        <v>223</v>
      </c>
      <c r="H21" s="381" t="s">
        <v>127</v>
      </c>
      <c r="I21" s="265" t="s">
        <v>297</v>
      </c>
      <c r="J21" s="265" t="s">
        <v>298</v>
      </c>
      <c r="K21" s="265" t="s">
        <v>299</v>
      </c>
      <c r="L21" s="266" t="s">
        <v>300</v>
      </c>
    </row>
    <row r="22" spans="1:12" ht="63" x14ac:dyDescent="0.25">
      <c r="A22" s="264">
        <v>45977</v>
      </c>
      <c r="B22" s="192" t="s">
        <v>221</v>
      </c>
      <c r="C22" s="265" t="s">
        <v>222</v>
      </c>
      <c r="D22" s="265" t="s">
        <v>128</v>
      </c>
      <c r="E22" s="192" t="s">
        <v>160</v>
      </c>
      <c r="F22" s="268" t="s">
        <v>113</v>
      </c>
      <c r="G22" s="265" t="s">
        <v>223</v>
      </c>
      <c r="H22" s="379" t="s">
        <v>129</v>
      </c>
      <c r="I22" s="192" t="s">
        <v>301</v>
      </c>
      <c r="J22" s="192" t="s">
        <v>302</v>
      </c>
      <c r="K22" s="192" t="s">
        <v>303</v>
      </c>
      <c r="L22" s="267" t="s">
        <v>304</v>
      </c>
    </row>
    <row r="23" spans="1:12" ht="63" x14ac:dyDescent="0.25">
      <c r="A23" s="264">
        <v>45977</v>
      </c>
      <c r="B23" s="192" t="s">
        <v>221</v>
      </c>
      <c r="C23" s="265" t="s">
        <v>222</v>
      </c>
      <c r="D23" s="265" t="s">
        <v>130</v>
      </c>
      <c r="E23" s="192" t="s">
        <v>160</v>
      </c>
      <c r="F23" s="268" t="s">
        <v>113</v>
      </c>
      <c r="G23" s="265" t="s">
        <v>223</v>
      </c>
      <c r="H23" s="379" t="s">
        <v>131</v>
      </c>
      <c r="I23" s="192" t="s">
        <v>305</v>
      </c>
      <c r="J23" s="192" t="s">
        <v>306</v>
      </c>
      <c r="K23" s="192" t="s">
        <v>307</v>
      </c>
      <c r="L23" s="267" t="s">
        <v>308</v>
      </c>
    </row>
    <row r="24" spans="1:12" ht="63" x14ac:dyDescent="0.25">
      <c r="A24" s="264">
        <v>45977</v>
      </c>
      <c r="B24" s="192" t="s">
        <v>221</v>
      </c>
      <c r="C24" s="265" t="s">
        <v>222</v>
      </c>
      <c r="D24" s="265" t="s">
        <v>132</v>
      </c>
      <c r="E24" s="192" t="s">
        <v>160</v>
      </c>
      <c r="F24" s="268" t="s">
        <v>113</v>
      </c>
      <c r="G24" s="265" t="s">
        <v>223</v>
      </c>
      <c r="H24" s="376" t="s">
        <v>133</v>
      </c>
      <c r="I24" s="192" t="s">
        <v>309</v>
      </c>
      <c r="J24" s="192" t="s">
        <v>310</v>
      </c>
      <c r="K24" s="192" t="s">
        <v>311</v>
      </c>
      <c r="L24" s="267" t="s">
        <v>312</v>
      </c>
    </row>
    <row r="25" spans="1:12" ht="63" x14ac:dyDescent="0.25">
      <c r="A25" s="264">
        <v>45977</v>
      </c>
      <c r="B25" s="192" t="s">
        <v>221</v>
      </c>
      <c r="C25" s="265" t="s">
        <v>222</v>
      </c>
      <c r="D25" s="265" t="s">
        <v>134</v>
      </c>
      <c r="E25" s="192" t="s">
        <v>160</v>
      </c>
      <c r="F25" s="268" t="s">
        <v>113</v>
      </c>
      <c r="G25" s="265" t="s">
        <v>223</v>
      </c>
      <c r="H25" s="379" t="s">
        <v>135</v>
      </c>
      <c r="I25" s="192" t="s">
        <v>313</v>
      </c>
      <c r="J25" s="192" t="s">
        <v>314</v>
      </c>
      <c r="K25" s="192" t="s">
        <v>315</v>
      </c>
      <c r="L25" s="267" t="s">
        <v>316</v>
      </c>
    </row>
    <row r="26" spans="1:12" ht="48.75" customHeight="1" x14ac:dyDescent="0.25">
      <c r="A26" s="264">
        <v>45977</v>
      </c>
      <c r="B26" s="192" t="s">
        <v>221</v>
      </c>
      <c r="C26" s="265" t="s">
        <v>222</v>
      </c>
      <c r="D26" s="265" t="s">
        <v>136</v>
      </c>
      <c r="E26" s="192" t="s">
        <v>160</v>
      </c>
      <c r="F26" s="268" t="s">
        <v>113</v>
      </c>
      <c r="G26" s="265" t="s">
        <v>223</v>
      </c>
      <c r="H26" s="380" t="s">
        <v>137</v>
      </c>
      <c r="I26" s="192" t="s">
        <v>317</v>
      </c>
      <c r="J26" s="192" t="s">
        <v>318</v>
      </c>
      <c r="K26" s="192" t="s">
        <v>319</v>
      </c>
      <c r="L26" s="267" t="s">
        <v>320</v>
      </c>
    </row>
    <row r="27" spans="1:12" ht="58.5" customHeight="1" x14ac:dyDescent="0.25">
      <c r="A27" s="264">
        <v>45977</v>
      </c>
      <c r="B27" s="192" t="s">
        <v>221</v>
      </c>
      <c r="C27" s="265" t="s">
        <v>222</v>
      </c>
      <c r="D27" s="265" t="s">
        <v>138</v>
      </c>
      <c r="E27" s="192" t="s">
        <v>160</v>
      </c>
      <c r="F27" s="192" t="s">
        <v>139</v>
      </c>
      <c r="G27" s="369" t="s">
        <v>223</v>
      </c>
      <c r="H27" s="377" t="s">
        <v>94</v>
      </c>
      <c r="I27" s="370" t="s">
        <v>321</v>
      </c>
      <c r="J27" s="386" t="s">
        <v>322</v>
      </c>
      <c r="K27" s="192" t="s">
        <v>323</v>
      </c>
      <c r="L27" s="267" t="s">
        <v>324</v>
      </c>
    </row>
    <row r="28" spans="1:12" ht="63" x14ac:dyDescent="0.25">
      <c r="A28" s="264">
        <v>45977</v>
      </c>
      <c r="B28" s="192" t="s">
        <v>221</v>
      </c>
      <c r="C28" s="265" t="s">
        <v>222</v>
      </c>
      <c r="D28" s="265" t="s">
        <v>140</v>
      </c>
      <c r="E28" s="192" t="s">
        <v>160</v>
      </c>
      <c r="F28" s="192" t="s">
        <v>139</v>
      </c>
      <c r="G28" s="265" t="s">
        <v>223</v>
      </c>
      <c r="H28" s="376" t="s">
        <v>325</v>
      </c>
      <c r="I28" s="192" t="s">
        <v>326</v>
      </c>
      <c r="J28" s="192" t="s">
        <v>279</v>
      </c>
      <c r="K28" s="192" t="s">
        <v>327</v>
      </c>
      <c r="L28" s="267" t="s">
        <v>328</v>
      </c>
    </row>
    <row r="29" spans="1:12" ht="63" x14ac:dyDescent="0.25">
      <c r="A29" s="264">
        <v>45977</v>
      </c>
      <c r="B29" s="192" t="s">
        <v>221</v>
      </c>
      <c r="C29" s="265" t="s">
        <v>222</v>
      </c>
      <c r="D29" s="265" t="s">
        <v>141</v>
      </c>
      <c r="E29" s="192" t="s">
        <v>160</v>
      </c>
      <c r="F29" s="192" t="s">
        <v>139</v>
      </c>
      <c r="G29" s="369" t="s">
        <v>223</v>
      </c>
      <c r="H29" s="382" t="s">
        <v>329</v>
      </c>
      <c r="I29" s="370" t="s">
        <v>330</v>
      </c>
      <c r="J29" s="192" t="s">
        <v>322</v>
      </c>
      <c r="K29" s="192" t="s">
        <v>331</v>
      </c>
      <c r="L29" s="267" t="s">
        <v>332</v>
      </c>
    </row>
    <row r="30" spans="1:12" ht="63" x14ac:dyDescent="0.25">
      <c r="A30" s="264">
        <v>45977</v>
      </c>
      <c r="B30" s="268" t="s">
        <v>221</v>
      </c>
      <c r="C30" s="265" t="s">
        <v>222</v>
      </c>
      <c r="D30" s="265" t="s">
        <v>142</v>
      </c>
      <c r="E30" s="268" t="s">
        <v>261</v>
      </c>
      <c r="F30" s="192" t="s">
        <v>139</v>
      </c>
      <c r="G30" s="369" t="s">
        <v>223</v>
      </c>
      <c r="H30" s="382" t="s">
        <v>333</v>
      </c>
      <c r="I30" s="372" t="s">
        <v>334</v>
      </c>
      <c r="J30" s="268" t="s">
        <v>279</v>
      </c>
      <c r="K30" s="268" t="s">
        <v>335</v>
      </c>
      <c r="L30" s="267" t="s">
        <v>336</v>
      </c>
    </row>
    <row r="31" spans="1:12" ht="63" x14ac:dyDescent="0.25">
      <c r="A31" s="264">
        <v>45977</v>
      </c>
      <c r="B31" s="265" t="s">
        <v>221</v>
      </c>
      <c r="C31" s="265" t="s">
        <v>222</v>
      </c>
      <c r="D31" s="265" t="s">
        <v>143</v>
      </c>
      <c r="E31" s="265" t="s">
        <v>160</v>
      </c>
      <c r="F31" s="192" t="s">
        <v>139</v>
      </c>
      <c r="G31" s="369" t="s">
        <v>223</v>
      </c>
      <c r="H31" s="382" t="s">
        <v>337</v>
      </c>
      <c r="I31" s="371" t="s">
        <v>338</v>
      </c>
      <c r="J31" s="265" t="s">
        <v>279</v>
      </c>
      <c r="K31" s="268" t="s">
        <v>339</v>
      </c>
      <c r="L31" s="267" t="s">
        <v>340</v>
      </c>
    </row>
    <row r="32" spans="1:12" ht="63" x14ac:dyDescent="0.25">
      <c r="A32" s="264">
        <v>45977</v>
      </c>
      <c r="B32" s="192" t="s">
        <v>221</v>
      </c>
      <c r="C32" s="265" t="s">
        <v>222</v>
      </c>
      <c r="D32" s="265" t="s">
        <v>144</v>
      </c>
      <c r="E32" s="192" t="s">
        <v>160</v>
      </c>
      <c r="F32" s="192" t="s">
        <v>139</v>
      </c>
      <c r="G32" s="369" t="s">
        <v>223</v>
      </c>
      <c r="H32" s="382" t="s">
        <v>341</v>
      </c>
      <c r="I32" s="370" t="s">
        <v>342</v>
      </c>
      <c r="J32" s="192" t="s">
        <v>343</v>
      </c>
      <c r="K32" s="268" t="s">
        <v>344</v>
      </c>
      <c r="L32" s="267" t="s">
        <v>345</v>
      </c>
    </row>
    <row r="33" spans="1:12" ht="63.75" thickBot="1" x14ac:dyDescent="0.3">
      <c r="A33" s="264">
        <v>45977</v>
      </c>
      <c r="B33" s="192" t="s">
        <v>221</v>
      </c>
      <c r="C33" s="265" t="s">
        <v>222</v>
      </c>
      <c r="D33" s="265" t="s">
        <v>146</v>
      </c>
      <c r="E33" s="192" t="s">
        <v>160</v>
      </c>
      <c r="F33" s="192" t="s">
        <v>139</v>
      </c>
      <c r="G33" s="369" t="s">
        <v>223</v>
      </c>
      <c r="H33" s="382" t="s">
        <v>346</v>
      </c>
      <c r="I33" s="374" t="s">
        <v>347</v>
      </c>
      <c r="J33" s="192" t="s">
        <v>343</v>
      </c>
      <c r="K33" s="268" t="s">
        <v>348</v>
      </c>
      <c r="L33" s="387" t="s">
        <v>349</v>
      </c>
    </row>
    <row r="34" spans="1:12" ht="63.75" thickBot="1" x14ac:dyDescent="0.3">
      <c r="A34" s="264">
        <v>45977</v>
      </c>
      <c r="B34" s="192" t="s">
        <v>221</v>
      </c>
      <c r="C34" s="265" t="s">
        <v>222</v>
      </c>
      <c r="D34" s="265" t="s">
        <v>148</v>
      </c>
      <c r="E34" s="192" t="s">
        <v>160</v>
      </c>
      <c r="F34" s="192" t="s">
        <v>139</v>
      </c>
      <c r="G34" s="369" t="s">
        <v>223</v>
      </c>
      <c r="H34" s="383" t="s">
        <v>350</v>
      </c>
      <c r="I34" s="373" t="s">
        <v>351</v>
      </c>
      <c r="J34" s="370" t="s">
        <v>343</v>
      </c>
      <c r="K34" s="268" t="s">
        <v>352</v>
      </c>
      <c r="L34" s="387" t="s">
        <v>353</v>
      </c>
    </row>
    <row r="35" spans="1:12" ht="63.75" thickBot="1" x14ac:dyDescent="0.3">
      <c r="A35" s="264">
        <v>45977</v>
      </c>
      <c r="B35" s="192" t="s">
        <v>221</v>
      </c>
      <c r="C35" s="265" t="s">
        <v>222</v>
      </c>
      <c r="D35" s="265" t="s">
        <v>150</v>
      </c>
      <c r="E35" s="192" t="s">
        <v>160</v>
      </c>
      <c r="F35" s="192" t="s">
        <v>139</v>
      </c>
      <c r="G35" s="369" t="s">
        <v>223</v>
      </c>
      <c r="H35" s="377" t="s">
        <v>107</v>
      </c>
      <c r="I35" s="375" t="s">
        <v>354</v>
      </c>
      <c r="J35" s="192" t="s">
        <v>343</v>
      </c>
      <c r="K35" s="268" t="s">
        <v>355</v>
      </c>
      <c r="L35" s="387" t="s">
        <v>356</v>
      </c>
    </row>
    <row r="36" spans="1:12" ht="43.5" customHeight="1" thickBot="1" x14ac:dyDescent="0.3">
      <c r="A36" s="264">
        <v>45977</v>
      </c>
      <c r="B36" s="192" t="s">
        <v>221</v>
      </c>
      <c r="C36" s="265" t="s">
        <v>222</v>
      </c>
      <c r="D36" s="265" t="s">
        <v>151</v>
      </c>
      <c r="E36" s="192" t="s">
        <v>160</v>
      </c>
      <c r="F36" s="192" t="s">
        <v>139</v>
      </c>
      <c r="G36" s="265" t="s">
        <v>223</v>
      </c>
      <c r="H36" s="376" t="s">
        <v>152</v>
      </c>
      <c r="I36" s="192" t="s">
        <v>357</v>
      </c>
      <c r="J36" s="192" t="s">
        <v>358</v>
      </c>
      <c r="K36" s="268" t="s">
        <v>359</v>
      </c>
      <c r="L36" s="267" t="s">
        <v>360</v>
      </c>
    </row>
    <row r="37" spans="1:12" ht="63.75" thickBot="1" x14ac:dyDescent="0.3">
      <c r="A37" s="264">
        <v>45977</v>
      </c>
      <c r="B37" s="192" t="s">
        <v>221</v>
      </c>
      <c r="C37" s="265" t="s">
        <v>222</v>
      </c>
      <c r="D37" s="265" t="s">
        <v>689</v>
      </c>
      <c r="E37" s="192" t="s">
        <v>160</v>
      </c>
      <c r="F37" s="192" t="s">
        <v>685</v>
      </c>
      <c r="G37" s="369" t="s">
        <v>223</v>
      </c>
      <c r="H37" s="383" t="s">
        <v>686</v>
      </c>
      <c r="I37" s="373" t="s">
        <v>692</v>
      </c>
      <c r="J37" s="370" t="s">
        <v>693</v>
      </c>
      <c r="K37" s="268" t="s">
        <v>696</v>
      </c>
      <c r="L37" s="506" t="s">
        <v>697</v>
      </c>
    </row>
    <row r="38" spans="1:12" ht="63" x14ac:dyDescent="0.25">
      <c r="A38" s="264">
        <v>45977</v>
      </c>
      <c r="B38" s="192" t="s">
        <v>221</v>
      </c>
      <c r="C38" s="265" t="s">
        <v>222</v>
      </c>
      <c r="D38" s="265" t="s">
        <v>690</v>
      </c>
      <c r="E38" s="192" t="s">
        <v>160</v>
      </c>
      <c r="F38" s="192" t="s">
        <v>685</v>
      </c>
      <c r="G38" s="369" t="s">
        <v>223</v>
      </c>
      <c r="H38" s="377" t="s">
        <v>687</v>
      </c>
      <c r="I38" s="373" t="s">
        <v>694</v>
      </c>
      <c r="J38" s="370" t="s">
        <v>693</v>
      </c>
      <c r="K38" s="268" t="s">
        <v>696</v>
      </c>
      <c r="L38" s="506" t="s">
        <v>698</v>
      </c>
    </row>
    <row r="39" spans="1:12" ht="60.75" customHeight="1" x14ac:dyDescent="0.25">
      <c r="A39" s="264">
        <v>45977</v>
      </c>
      <c r="B39" s="192" t="s">
        <v>221</v>
      </c>
      <c r="C39" s="265" t="s">
        <v>222</v>
      </c>
      <c r="D39" s="265" t="s">
        <v>691</v>
      </c>
      <c r="E39" s="192" t="s">
        <v>160</v>
      </c>
      <c r="F39" s="192" t="s">
        <v>685</v>
      </c>
      <c r="G39" s="265" t="s">
        <v>223</v>
      </c>
      <c r="H39" s="376" t="s">
        <v>688</v>
      </c>
      <c r="I39" s="373" t="s">
        <v>695</v>
      </c>
      <c r="J39" s="370" t="s">
        <v>693</v>
      </c>
      <c r="K39" s="268" t="s">
        <v>696</v>
      </c>
      <c r="L39" s="506" t="s">
        <v>699</v>
      </c>
    </row>
    <row r="40" spans="1:12" x14ac:dyDescent="0.25">
      <c r="A40" s="368"/>
      <c r="B40" s="16"/>
      <c r="C40" s="16"/>
      <c r="D40" s="16"/>
      <c r="E40" s="16"/>
      <c r="F40" s="16"/>
      <c r="G40" s="507"/>
      <c r="H40" s="16"/>
      <c r="I40" s="16"/>
      <c r="J40" s="16"/>
      <c r="K40" s="16"/>
      <c r="L40" s="16"/>
    </row>
    <row r="41" spans="1:12" x14ac:dyDescent="0.25"/>
    <row r="42" spans="1:12" x14ac:dyDescent="0.25"/>
    <row r="43" spans="1:12" x14ac:dyDescent="0.25"/>
    <row r="44" spans="1:12" x14ac:dyDescent="0.25"/>
  </sheetData>
  <mergeCells count="1">
    <mergeCell ref="A1:L1"/>
  </mergeCells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3"/>
  <dimension ref="B4:J1000"/>
  <sheetViews>
    <sheetView showGridLines="0" zoomScale="90" zoomScaleNormal="90" workbookViewId="0">
      <selection activeCell="H20" sqref="H20"/>
    </sheetView>
  </sheetViews>
  <sheetFormatPr baseColWidth="10" defaultColWidth="11" defaultRowHeight="15.75" x14ac:dyDescent="0.25"/>
  <cols>
    <col min="1" max="1" width="4.125" customWidth="1"/>
    <col min="2" max="2" width="28.625" bestFit="1" customWidth="1"/>
    <col min="3" max="3" width="46.375" bestFit="1" customWidth="1"/>
    <col min="4" max="4" width="44.375" customWidth="1"/>
    <col min="5" max="5" width="11.125" customWidth="1"/>
    <col min="6" max="7" width="19.625" customWidth="1"/>
    <col min="8" max="8" width="18.875" customWidth="1"/>
    <col min="9" max="9" width="12.125" bestFit="1" customWidth="1"/>
    <col min="10" max="10" width="48" customWidth="1"/>
  </cols>
  <sheetData>
    <row r="4" spans="2:10" ht="28.5" customHeight="1" x14ac:dyDescent="0.25">
      <c r="B4" s="472" t="s">
        <v>361</v>
      </c>
      <c r="C4" s="472"/>
      <c r="D4" s="472"/>
      <c r="E4" s="472"/>
      <c r="F4" s="472"/>
      <c r="G4" s="472"/>
      <c r="H4" s="472"/>
      <c r="I4" s="472"/>
      <c r="J4" s="472"/>
    </row>
    <row r="5" spans="2:10" ht="15.75" customHeight="1" x14ac:dyDescent="0.25">
      <c r="B5" s="33"/>
      <c r="C5" s="33"/>
      <c r="D5" s="33"/>
      <c r="E5" s="33"/>
      <c r="F5" s="33"/>
    </row>
    <row r="7" spans="2:10" ht="19.5" x14ac:dyDescent="0.25">
      <c r="B7" s="14" t="s">
        <v>362</v>
      </c>
      <c r="C7" s="14" t="s">
        <v>7</v>
      </c>
      <c r="D7" s="14" t="s">
        <v>363</v>
      </c>
      <c r="E7" s="14" t="s">
        <v>364</v>
      </c>
      <c r="F7" s="14" t="s">
        <v>365</v>
      </c>
      <c r="G7" s="14" t="s">
        <v>366</v>
      </c>
      <c r="H7" s="14" t="s">
        <v>367</v>
      </c>
      <c r="I7" s="14" t="s">
        <v>368</v>
      </c>
      <c r="J7" s="14" t="s">
        <v>369</v>
      </c>
    </row>
    <row r="8" spans="2:10" x14ac:dyDescent="0.25">
      <c r="B8" s="19">
        <v>45401.416666666664</v>
      </c>
      <c r="C8" s="20" t="s">
        <v>370</v>
      </c>
      <c r="H8" s="15"/>
    </row>
    <row r="9" spans="2:10" ht="47.25" x14ac:dyDescent="0.25">
      <c r="B9" s="19">
        <v>45031.291666666664</v>
      </c>
      <c r="C9" s="20"/>
      <c r="D9" s="13" t="s">
        <v>371</v>
      </c>
      <c r="E9" s="15">
        <v>1</v>
      </c>
      <c r="F9" s="16" t="s">
        <v>372</v>
      </c>
      <c r="G9" s="13" t="s">
        <v>373</v>
      </c>
      <c r="H9" s="16" t="s">
        <v>374</v>
      </c>
      <c r="I9" s="15" t="s">
        <v>375</v>
      </c>
    </row>
    <row r="10" spans="2:10" ht="31.5" x14ac:dyDescent="0.25">
      <c r="B10" s="19">
        <v>45028.333333333336</v>
      </c>
      <c r="C10" s="20"/>
      <c r="D10" s="13" t="s">
        <v>376</v>
      </c>
      <c r="E10" s="15">
        <v>1</v>
      </c>
      <c r="F10" s="16" t="s">
        <v>372</v>
      </c>
      <c r="G10" s="13" t="s">
        <v>377</v>
      </c>
      <c r="H10" s="16" t="s">
        <v>374</v>
      </c>
      <c r="I10" s="15" t="s">
        <v>375</v>
      </c>
    </row>
    <row r="11" spans="2:10" x14ac:dyDescent="0.25">
      <c r="B11" s="19">
        <v>45014.597222222219</v>
      </c>
      <c r="C11" s="20"/>
      <c r="D11" s="13" t="s">
        <v>378</v>
      </c>
      <c r="E11" s="15">
        <v>8</v>
      </c>
      <c r="F11" s="16" t="s">
        <v>379</v>
      </c>
      <c r="G11" s="13" t="s">
        <v>380</v>
      </c>
      <c r="H11" s="16" t="s">
        <v>374</v>
      </c>
      <c r="I11" s="15" t="s">
        <v>375</v>
      </c>
    </row>
    <row r="12" spans="2:10" x14ac:dyDescent="0.25">
      <c r="B12" s="19">
        <v>45014.597222222219</v>
      </c>
      <c r="C12" s="20"/>
      <c r="D12" s="13" t="s">
        <v>381</v>
      </c>
      <c r="E12" s="15">
        <v>18</v>
      </c>
      <c r="F12" s="16" t="s">
        <v>379</v>
      </c>
      <c r="G12" s="13" t="s">
        <v>382</v>
      </c>
      <c r="H12" s="16" t="s">
        <v>374</v>
      </c>
      <c r="I12" s="15" t="s">
        <v>375</v>
      </c>
    </row>
    <row r="13" spans="2:10" x14ac:dyDescent="0.25">
      <c r="B13" s="19">
        <v>45014.597222222219</v>
      </c>
      <c r="C13" s="20"/>
      <c r="D13" s="13" t="s">
        <v>383</v>
      </c>
      <c r="E13" s="15">
        <v>1</v>
      </c>
      <c r="F13" s="16" t="s">
        <v>384</v>
      </c>
      <c r="G13" s="13" t="s">
        <v>385</v>
      </c>
      <c r="H13" s="16" t="s">
        <v>374</v>
      </c>
      <c r="I13" s="15" t="s">
        <v>375</v>
      </c>
    </row>
    <row r="14" spans="2:10" x14ac:dyDescent="0.25">
      <c r="B14" s="19">
        <v>45014.597222222219</v>
      </c>
      <c r="C14" s="20"/>
      <c r="D14" s="13" t="s">
        <v>386</v>
      </c>
      <c r="E14" s="15">
        <v>2</v>
      </c>
      <c r="F14" s="16" t="s">
        <v>384</v>
      </c>
      <c r="G14" s="13" t="s">
        <v>387</v>
      </c>
      <c r="H14" s="16" t="s">
        <v>388</v>
      </c>
      <c r="I14" s="15" t="s">
        <v>389</v>
      </c>
    </row>
    <row r="15" spans="2:10" x14ac:dyDescent="0.25">
      <c r="B15" s="19"/>
      <c r="C15" s="20"/>
      <c r="D15" s="13"/>
      <c r="E15" s="15"/>
      <c r="F15" s="13"/>
      <c r="G15" s="13"/>
      <c r="H15" s="16"/>
    </row>
    <row r="16" spans="2:10" x14ac:dyDescent="0.25">
      <c r="B16" s="19"/>
      <c r="C16" s="20"/>
      <c r="D16" s="13"/>
      <c r="E16" s="15"/>
      <c r="F16" s="13"/>
      <c r="G16" s="13"/>
      <c r="H16" s="16"/>
    </row>
    <row r="17" spans="2:8" x14ac:dyDescent="0.25">
      <c r="B17" s="19"/>
      <c r="C17" s="20"/>
      <c r="D17" s="13"/>
      <c r="E17" s="15"/>
      <c r="F17" s="13"/>
      <c r="G17" s="13"/>
      <c r="H17" s="16"/>
    </row>
    <row r="18" spans="2:8" x14ac:dyDescent="0.25">
      <c r="B18" s="19"/>
      <c r="C18" s="20"/>
      <c r="D18" s="13"/>
      <c r="E18" s="15"/>
      <c r="F18" s="13"/>
      <c r="G18" s="13"/>
      <c r="H18" s="16"/>
    </row>
    <row r="19" spans="2:8" x14ac:dyDescent="0.25">
      <c r="B19" s="19"/>
      <c r="C19" s="20"/>
      <c r="D19" s="13"/>
      <c r="E19" s="15"/>
      <c r="F19" s="13"/>
      <c r="G19" s="13"/>
      <c r="H19" s="16"/>
    </row>
    <row r="20" spans="2:8" x14ac:dyDescent="0.25">
      <c r="B20" s="19"/>
      <c r="C20" s="20"/>
      <c r="D20" s="13"/>
      <c r="E20" s="15"/>
      <c r="F20" s="13"/>
      <c r="G20" s="13"/>
      <c r="H20" s="16"/>
    </row>
    <row r="21" spans="2:8" x14ac:dyDescent="0.25">
      <c r="B21" s="19"/>
      <c r="C21" s="20"/>
      <c r="D21" s="13"/>
      <c r="E21" s="15"/>
      <c r="F21" s="13"/>
      <c r="G21" s="13"/>
      <c r="H21" s="16"/>
    </row>
    <row r="22" spans="2:8" x14ac:dyDescent="0.25">
      <c r="B22" s="19"/>
      <c r="C22" s="20"/>
      <c r="D22" s="13"/>
      <c r="E22" s="15"/>
      <c r="F22" s="13"/>
      <c r="G22" s="13"/>
      <c r="H22" s="16"/>
    </row>
    <row r="23" spans="2:8" x14ac:dyDescent="0.25">
      <c r="B23" s="19"/>
      <c r="C23" s="20"/>
      <c r="D23" s="13"/>
      <c r="E23" s="15"/>
      <c r="F23" s="13"/>
      <c r="G23" s="13"/>
      <c r="H23" s="16"/>
    </row>
    <row r="24" spans="2:8" x14ac:dyDescent="0.25">
      <c r="B24" s="19"/>
      <c r="C24" s="20"/>
      <c r="D24" s="13"/>
      <c r="E24" s="15"/>
      <c r="F24" s="13"/>
      <c r="G24" s="13"/>
      <c r="H24" s="16"/>
    </row>
    <row r="25" spans="2:8" x14ac:dyDescent="0.25">
      <c r="B25" s="19"/>
      <c r="C25" s="20"/>
      <c r="D25" s="13"/>
      <c r="E25" s="15"/>
      <c r="F25" s="13"/>
      <c r="G25" s="13"/>
      <c r="H25" s="16"/>
    </row>
    <row r="26" spans="2:8" x14ac:dyDescent="0.25">
      <c r="B26" s="19"/>
      <c r="C26" s="20"/>
      <c r="D26" s="13"/>
      <c r="E26" s="15"/>
      <c r="F26" s="13"/>
      <c r="G26" s="13"/>
      <c r="H26" s="13"/>
    </row>
    <row r="27" spans="2:8" x14ac:dyDescent="0.25">
      <c r="B27" s="19"/>
      <c r="C27" s="20"/>
      <c r="D27" s="13"/>
      <c r="E27" s="15"/>
      <c r="F27" s="13"/>
      <c r="G27" s="13"/>
      <c r="H27" s="13"/>
    </row>
    <row r="28" spans="2:8" x14ac:dyDescent="0.25">
      <c r="B28" s="19"/>
      <c r="C28" s="20"/>
      <c r="D28" s="13"/>
      <c r="E28" s="15"/>
      <c r="F28" s="13"/>
      <c r="G28" s="13"/>
      <c r="H28" s="13"/>
    </row>
    <row r="29" spans="2:8" x14ac:dyDescent="0.25">
      <c r="B29" s="19"/>
      <c r="C29" s="20"/>
      <c r="D29" s="13"/>
      <c r="E29" s="15"/>
      <c r="F29" s="13"/>
      <c r="G29" s="13"/>
      <c r="H29" s="13"/>
    </row>
    <row r="30" spans="2:8" x14ac:dyDescent="0.25">
      <c r="B30" s="19"/>
      <c r="C30" s="20"/>
      <c r="D30" s="13"/>
      <c r="E30" s="15"/>
      <c r="F30" s="13"/>
      <c r="G30" s="13"/>
      <c r="H30" s="13"/>
    </row>
    <row r="31" spans="2:8" x14ac:dyDescent="0.25">
      <c r="B31" s="19"/>
      <c r="C31" s="20"/>
      <c r="D31" s="13"/>
      <c r="E31" s="15"/>
      <c r="F31" s="13"/>
      <c r="G31" s="13"/>
      <c r="H31" s="13"/>
    </row>
    <row r="32" spans="2:8" x14ac:dyDescent="0.25">
      <c r="B32" s="19"/>
      <c r="C32" s="20"/>
      <c r="D32" s="13"/>
      <c r="E32" s="15"/>
      <c r="F32" s="13"/>
      <c r="G32" s="13"/>
      <c r="H32" s="13"/>
    </row>
    <row r="33" spans="2:8" x14ac:dyDescent="0.25">
      <c r="B33" s="19"/>
      <c r="C33" s="20"/>
      <c r="D33" s="13"/>
      <c r="F33" s="13"/>
      <c r="G33" s="13"/>
      <c r="H33" s="13"/>
    </row>
    <row r="34" spans="2:8" x14ac:dyDescent="0.25">
      <c r="B34" s="19"/>
      <c r="C34" s="20"/>
      <c r="D34" s="13"/>
      <c r="F34" s="13"/>
      <c r="G34" s="13"/>
      <c r="H34" s="13"/>
    </row>
    <row r="35" spans="2:8" x14ac:dyDescent="0.25">
      <c r="B35" s="19"/>
      <c r="C35" s="20"/>
      <c r="D35" s="13"/>
      <c r="F35" s="13"/>
      <c r="G35" s="13"/>
      <c r="H35" s="13"/>
    </row>
    <row r="36" spans="2:8" x14ac:dyDescent="0.25">
      <c r="B36" s="19"/>
      <c r="C36" s="20"/>
      <c r="D36" s="13"/>
      <c r="F36" s="13"/>
      <c r="G36" s="13"/>
      <c r="H36" s="13"/>
    </row>
    <row r="37" spans="2:8" x14ac:dyDescent="0.25">
      <c r="B37" s="19"/>
      <c r="C37" s="20"/>
      <c r="D37" s="13"/>
      <c r="F37" s="13"/>
      <c r="G37" s="13"/>
      <c r="H37" s="13"/>
    </row>
    <row r="38" spans="2:8" x14ac:dyDescent="0.25">
      <c r="B38" s="19"/>
      <c r="C38" s="20"/>
      <c r="D38" s="13"/>
      <c r="F38" s="13"/>
      <c r="G38" s="13"/>
      <c r="H38" s="13"/>
    </row>
    <row r="39" spans="2:8" x14ac:dyDescent="0.25">
      <c r="B39" s="19"/>
      <c r="C39" s="20"/>
    </row>
    <row r="40" spans="2:8" x14ac:dyDescent="0.25">
      <c r="B40" s="19"/>
      <c r="C40" s="20"/>
    </row>
    <row r="41" spans="2:8" x14ac:dyDescent="0.25">
      <c r="B41" s="19"/>
      <c r="C41" s="20"/>
    </row>
    <row r="42" spans="2:8" x14ac:dyDescent="0.25">
      <c r="B42" s="19"/>
      <c r="C42" s="20"/>
    </row>
    <row r="43" spans="2:8" x14ac:dyDescent="0.25">
      <c r="B43" s="19"/>
      <c r="C43" s="20"/>
    </row>
    <row r="44" spans="2:8" x14ac:dyDescent="0.25">
      <c r="B44" s="19"/>
      <c r="C44" s="20"/>
    </row>
    <row r="45" spans="2:8" x14ac:dyDescent="0.25">
      <c r="B45" s="19"/>
      <c r="C45" s="20"/>
    </row>
    <row r="46" spans="2:8" x14ac:dyDescent="0.25">
      <c r="B46" s="19"/>
      <c r="C46" s="20"/>
    </row>
    <row r="47" spans="2:8" x14ac:dyDescent="0.25">
      <c r="B47" s="19"/>
      <c r="C47" s="20"/>
    </row>
    <row r="48" spans="2:8" x14ac:dyDescent="0.25">
      <c r="B48" s="19"/>
      <c r="C48" s="20"/>
    </row>
    <row r="49" spans="2:3" x14ac:dyDescent="0.25">
      <c r="B49" s="19"/>
      <c r="C49" s="20"/>
    </row>
    <row r="50" spans="2:3" x14ac:dyDescent="0.25">
      <c r="B50" s="19"/>
      <c r="C50" s="20"/>
    </row>
    <row r="51" spans="2:3" x14ac:dyDescent="0.25">
      <c r="B51" s="19"/>
      <c r="C51" s="20"/>
    </row>
    <row r="52" spans="2:3" x14ac:dyDescent="0.25">
      <c r="B52" s="19"/>
      <c r="C52" s="20"/>
    </row>
    <row r="53" spans="2:3" x14ac:dyDescent="0.25">
      <c r="B53" s="19"/>
      <c r="C53" s="20"/>
    </row>
    <row r="54" spans="2:3" x14ac:dyDescent="0.25">
      <c r="B54" s="19"/>
      <c r="C54" s="20"/>
    </row>
    <row r="55" spans="2:3" x14ac:dyDescent="0.25">
      <c r="B55" s="19"/>
      <c r="C55" s="20"/>
    </row>
    <row r="56" spans="2:3" x14ac:dyDescent="0.25">
      <c r="B56" s="19"/>
      <c r="C56" s="20"/>
    </row>
    <row r="57" spans="2:3" x14ac:dyDescent="0.25">
      <c r="B57" s="19"/>
      <c r="C57" s="20"/>
    </row>
    <row r="58" spans="2:3" x14ac:dyDescent="0.25">
      <c r="B58" s="19"/>
      <c r="C58" s="20"/>
    </row>
    <row r="59" spans="2:3" x14ac:dyDescent="0.25">
      <c r="B59" s="19"/>
      <c r="C59" s="20"/>
    </row>
    <row r="60" spans="2:3" x14ac:dyDescent="0.25">
      <c r="B60" s="19"/>
      <c r="C60" s="20"/>
    </row>
    <row r="61" spans="2:3" x14ac:dyDescent="0.25">
      <c r="B61" s="19"/>
      <c r="C61" s="20"/>
    </row>
    <row r="62" spans="2:3" x14ac:dyDescent="0.25">
      <c r="B62" s="19"/>
      <c r="C62" s="20"/>
    </row>
    <row r="63" spans="2:3" x14ac:dyDescent="0.25">
      <c r="B63" s="19"/>
      <c r="C63" s="20"/>
    </row>
    <row r="64" spans="2:3" x14ac:dyDescent="0.25">
      <c r="B64" s="19"/>
      <c r="C64" s="20"/>
    </row>
    <row r="65" spans="2:3" x14ac:dyDescent="0.25">
      <c r="B65" s="19"/>
      <c r="C65" s="20"/>
    </row>
    <row r="66" spans="2:3" x14ac:dyDescent="0.25">
      <c r="B66" s="19"/>
      <c r="C66" s="20"/>
    </row>
    <row r="67" spans="2:3" x14ac:dyDescent="0.25">
      <c r="B67" s="19"/>
      <c r="C67" s="20"/>
    </row>
    <row r="68" spans="2:3" x14ac:dyDescent="0.25">
      <c r="B68" s="19"/>
      <c r="C68" s="20"/>
    </row>
    <row r="69" spans="2:3" x14ac:dyDescent="0.25">
      <c r="B69" s="19"/>
      <c r="C69" s="20"/>
    </row>
    <row r="70" spans="2:3" x14ac:dyDescent="0.25">
      <c r="B70" s="19"/>
      <c r="C70" s="20"/>
    </row>
    <row r="71" spans="2:3" x14ac:dyDescent="0.25">
      <c r="B71" s="19"/>
      <c r="C71" s="20"/>
    </row>
    <row r="72" spans="2:3" x14ac:dyDescent="0.25">
      <c r="B72" s="19"/>
      <c r="C72" s="20"/>
    </row>
    <row r="73" spans="2:3" x14ac:dyDescent="0.25">
      <c r="B73" s="19"/>
      <c r="C73" s="20"/>
    </row>
    <row r="74" spans="2:3" x14ac:dyDescent="0.25">
      <c r="B74" s="19"/>
      <c r="C74" s="20"/>
    </row>
    <row r="75" spans="2:3" x14ac:dyDescent="0.25">
      <c r="B75" s="19"/>
      <c r="C75" s="20"/>
    </row>
    <row r="76" spans="2:3" x14ac:dyDescent="0.25">
      <c r="B76" s="19"/>
      <c r="C76" s="20"/>
    </row>
    <row r="77" spans="2:3" x14ac:dyDescent="0.25">
      <c r="B77" s="19"/>
      <c r="C77" s="20"/>
    </row>
    <row r="78" spans="2:3" x14ac:dyDescent="0.25">
      <c r="B78" s="19"/>
      <c r="C78" s="20"/>
    </row>
    <row r="79" spans="2:3" x14ac:dyDescent="0.25">
      <c r="B79" s="19"/>
      <c r="C79" s="20"/>
    </row>
    <row r="80" spans="2:3" x14ac:dyDescent="0.25">
      <c r="B80" s="19"/>
      <c r="C80" s="20"/>
    </row>
    <row r="81" spans="2:3" x14ac:dyDescent="0.25">
      <c r="B81" s="19"/>
      <c r="C81" s="20"/>
    </row>
    <row r="82" spans="2:3" x14ac:dyDescent="0.25">
      <c r="B82" s="19"/>
      <c r="C82" s="20"/>
    </row>
    <row r="83" spans="2:3" x14ac:dyDescent="0.25">
      <c r="B83" s="19"/>
      <c r="C83" s="20"/>
    </row>
    <row r="84" spans="2:3" x14ac:dyDescent="0.25">
      <c r="B84" s="19"/>
      <c r="C84" s="20"/>
    </row>
    <row r="85" spans="2:3" x14ac:dyDescent="0.25">
      <c r="B85" s="19"/>
      <c r="C85" s="20"/>
    </row>
    <row r="86" spans="2:3" x14ac:dyDescent="0.25">
      <c r="B86" s="19"/>
      <c r="C86" s="20"/>
    </row>
    <row r="87" spans="2:3" x14ac:dyDescent="0.25">
      <c r="B87" s="19"/>
      <c r="C87" s="20"/>
    </row>
    <row r="88" spans="2:3" x14ac:dyDescent="0.25">
      <c r="B88" s="19"/>
      <c r="C88" s="20"/>
    </row>
    <row r="89" spans="2:3" x14ac:dyDescent="0.25">
      <c r="B89" s="19"/>
      <c r="C89" s="20"/>
    </row>
    <row r="90" spans="2:3" x14ac:dyDescent="0.25">
      <c r="B90" s="19"/>
      <c r="C90" s="20"/>
    </row>
    <row r="91" spans="2:3" x14ac:dyDescent="0.25">
      <c r="B91" s="19"/>
      <c r="C91" s="20"/>
    </row>
    <row r="92" spans="2:3" x14ac:dyDescent="0.25">
      <c r="B92" s="19"/>
      <c r="C92" s="20"/>
    </row>
    <row r="93" spans="2:3" x14ac:dyDescent="0.25">
      <c r="B93" s="19"/>
      <c r="C93" s="20"/>
    </row>
    <row r="94" spans="2:3" x14ac:dyDescent="0.25">
      <c r="B94" s="19"/>
      <c r="C94" s="20"/>
    </row>
    <row r="95" spans="2:3" x14ac:dyDescent="0.25">
      <c r="B95" s="19"/>
      <c r="C95" s="20"/>
    </row>
    <row r="96" spans="2:3" x14ac:dyDescent="0.25">
      <c r="B96" s="19"/>
      <c r="C96" s="20"/>
    </row>
    <row r="97" spans="2:3" x14ac:dyDescent="0.25">
      <c r="B97" s="19"/>
      <c r="C97" s="20"/>
    </row>
    <row r="98" spans="2:3" x14ac:dyDescent="0.25">
      <c r="B98" s="19"/>
      <c r="C98" s="20"/>
    </row>
    <row r="99" spans="2:3" x14ac:dyDescent="0.25">
      <c r="B99" s="19"/>
      <c r="C99" s="20"/>
    </row>
    <row r="100" spans="2:3" x14ac:dyDescent="0.25">
      <c r="B100" s="19"/>
      <c r="C100" s="20"/>
    </row>
    <row r="101" spans="2:3" x14ac:dyDescent="0.25">
      <c r="B101" s="19"/>
      <c r="C101" s="20"/>
    </row>
    <row r="102" spans="2:3" x14ac:dyDescent="0.25">
      <c r="B102" s="19"/>
      <c r="C102" s="20"/>
    </row>
    <row r="103" spans="2:3" x14ac:dyDescent="0.25">
      <c r="B103" s="19"/>
      <c r="C103" s="20"/>
    </row>
    <row r="104" spans="2:3" x14ac:dyDescent="0.25">
      <c r="B104" s="19"/>
      <c r="C104" s="20"/>
    </row>
    <row r="105" spans="2:3" x14ac:dyDescent="0.25">
      <c r="B105" s="19"/>
      <c r="C105" s="20"/>
    </row>
    <row r="106" spans="2:3" x14ac:dyDescent="0.25">
      <c r="B106" s="19"/>
      <c r="C106" s="20"/>
    </row>
    <row r="107" spans="2:3" x14ac:dyDescent="0.25">
      <c r="B107" s="19"/>
      <c r="C107" s="20"/>
    </row>
    <row r="108" spans="2:3" x14ac:dyDescent="0.25">
      <c r="B108" s="19"/>
      <c r="C108" s="20"/>
    </row>
    <row r="109" spans="2:3" x14ac:dyDescent="0.25">
      <c r="B109" s="19"/>
      <c r="C109" s="20"/>
    </row>
    <row r="110" spans="2:3" x14ac:dyDescent="0.25">
      <c r="B110" s="19"/>
      <c r="C110" s="20"/>
    </row>
    <row r="111" spans="2:3" x14ac:dyDescent="0.25">
      <c r="B111" s="19"/>
      <c r="C111" s="20"/>
    </row>
    <row r="112" spans="2:3" x14ac:dyDescent="0.25">
      <c r="B112" s="19"/>
      <c r="C112" s="20"/>
    </row>
    <row r="113" spans="2:3" x14ac:dyDescent="0.25">
      <c r="B113" s="19"/>
      <c r="C113" s="20"/>
    </row>
    <row r="114" spans="2:3" x14ac:dyDescent="0.25">
      <c r="B114" s="19"/>
      <c r="C114" s="20"/>
    </row>
    <row r="115" spans="2:3" x14ac:dyDescent="0.25">
      <c r="B115" s="19"/>
      <c r="C115" s="20"/>
    </row>
    <row r="116" spans="2:3" x14ac:dyDescent="0.25">
      <c r="B116" s="19"/>
      <c r="C116" s="20"/>
    </row>
    <row r="117" spans="2:3" x14ac:dyDescent="0.25">
      <c r="B117" s="19"/>
      <c r="C117" s="20"/>
    </row>
    <row r="118" spans="2:3" x14ac:dyDescent="0.25">
      <c r="B118" s="19"/>
      <c r="C118" s="20"/>
    </row>
    <row r="119" spans="2:3" x14ac:dyDescent="0.25">
      <c r="B119" s="19"/>
      <c r="C119" s="20"/>
    </row>
    <row r="120" spans="2:3" x14ac:dyDescent="0.25">
      <c r="B120" s="19"/>
      <c r="C120" s="20"/>
    </row>
    <row r="121" spans="2:3" x14ac:dyDescent="0.25">
      <c r="B121" s="19"/>
      <c r="C121" s="20"/>
    </row>
    <row r="122" spans="2:3" x14ac:dyDescent="0.25">
      <c r="B122" s="19"/>
      <c r="C122" s="20"/>
    </row>
    <row r="123" spans="2:3" x14ac:dyDescent="0.25">
      <c r="B123" s="19"/>
      <c r="C123" s="20"/>
    </row>
    <row r="124" spans="2:3" x14ac:dyDescent="0.25">
      <c r="B124" s="19"/>
      <c r="C124" s="20"/>
    </row>
    <row r="125" spans="2:3" x14ac:dyDescent="0.25">
      <c r="B125" s="19"/>
      <c r="C125" s="20"/>
    </row>
    <row r="126" spans="2:3" x14ac:dyDescent="0.25">
      <c r="B126" s="19"/>
      <c r="C126" s="20"/>
    </row>
    <row r="127" spans="2:3" x14ac:dyDescent="0.25">
      <c r="B127" s="19"/>
      <c r="C127" s="20"/>
    </row>
    <row r="128" spans="2:3" x14ac:dyDescent="0.25">
      <c r="B128" s="19"/>
      <c r="C128" s="20"/>
    </row>
    <row r="129" spans="2:3" x14ac:dyDescent="0.25">
      <c r="B129" s="19"/>
      <c r="C129" s="20"/>
    </row>
    <row r="130" spans="2:3" x14ac:dyDescent="0.25">
      <c r="B130" s="19"/>
      <c r="C130" s="20"/>
    </row>
    <row r="131" spans="2:3" x14ac:dyDescent="0.25">
      <c r="B131" s="19"/>
      <c r="C131" s="20"/>
    </row>
    <row r="132" spans="2:3" x14ac:dyDescent="0.25">
      <c r="B132" s="19"/>
      <c r="C132" s="20"/>
    </row>
    <row r="133" spans="2:3" x14ac:dyDescent="0.25">
      <c r="B133" s="19"/>
      <c r="C133" s="20"/>
    </row>
    <row r="134" spans="2:3" x14ac:dyDescent="0.25">
      <c r="B134" s="19"/>
      <c r="C134" s="20"/>
    </row>
    <row r="135" spans="2:3" x14ac:dyDescent="0.25">
      <c r="B135" s="19"/>
      <c r="C135" s="20"/>
    </row>
    <row r="136" spans="2:3" x14ac:dyDescent="0.25">
      <c r="B136" s="19"/>
      <c r="C136" s="20"/>
    </row>
    <row r="137" spans="2:3" x14ac:dyDescent="0.25">
      <c r="B137" s="19"/>
      <c r="C137" s="20"/>
    </row>
    <row r="138" spans="2:3" x14ac:dyDescent="0.25">
      <c r="B138" s="19"/>
      <c r="C138" s="20"/>
    </row>
    <row r="139" spans="2:3" x14ac:dyDescent="0.25">
      <c r="B139" s="19"/>
      <c r="C139" s="20"/>
    </row>
    <row r="140" spans="2:3" x14ac:dyDescent="0.25">
      <c r="B140" s="19"/>
      <c r="C140" s="20"/>
    </row>
    <row r="141" spans="2:3" x14ac:dyDescent="0.25">
      <c r="B141" s="19"/>
      <c r="C141" s="20"/>
    </row>
    <row r="142" spans="2:3" x14ac:dyDescent="0.25">
      <c r="B142" s="19"/>
      <c r="C142" s="20"/>
    </row>
    <row r="143" spans="2:3" x14ac:dyDescent="0.25">
      <c r="B143" s="19"/>
      <c r="C143" s="20"/>
    </row>
    <row r="144" spans="2:3" x14ac:dyDescent="0.25">
      <c r="B144" s="19"/>
      <c r="C144" s="20"/>
    </row>
    <row r="145" spans="2:3" x14ac:dyDescent="0.25">
      <c r="B145" s="19"/>
      <c r="C145" s="20"/>
    </row>
    <row r="146" spans="2:3" x14ac:dyDescent="0.25">
      <c r="B146" s="19"/>
      <c r="C146" s="20"/>
    </row>
    <row r="147" spans="2:3" x14ac:dyDescent="0.25">
      <c r="B147" s="19"/>
      <c r="C147" s="20"/>
    </row>
    <row r="148" spans="2:3" x14ac:dyDescent="0.25">
      <c r="B148" s="19"/>
      <c r="C148" s="20"/>
    </row>
    <row r="149" spans="2:3" x14ac:dyDescent="0.25">
      <c r="B149" s="19"/>
      <c r="C149" s="20"/>
    </row>
    <row r="150" spans="2:3" x14ac:dyDescent="0.25">
      <c r="B150" s="19"/>
      <c r="C150" s="20"/>
    </row>
    <row r="151" spans="2:3" x14ac:dyDescent="0.25">
      <c r="B151" s="19"/>
      <c r="C151" s="20"/>
    </row>
    <row r="152" spans="2:3" x14ac:dyDescent="0.25">
      <c r="B152" s="19"/>
      <c r="C152" s="20"/>
    </row>
    <row r="153" spans="2:3" x14ac:dyDescent="0.25">
      <c r="B153" s="19"/>
      <c r="C153" s="20"/>
    </row>
    <row r="154" spans="2:3" x14ac:dyDescent="0.25">
      <c r="B154" s="19"/>
      <c r="C154" s="20"/>
    </row>
    <row r="155" spans="2:3" x14ac:dyDescent="0.25">
      <c r="B155" s="19"/>
      <c r="C155" s="20"/>
    </row>
    <row r="156" spans="2:3" x14ac:dyDescent="0.25">
      <c r="B156" s="19"/>
      <c r="C156" s="20"/>
    </row>
    <row r="157" spans="2:3" x14ac:dyDescent="0.25">
      <c r="B157" s="19"/>
      <c r="C157" s="20"/>
    </row>
    <row r="158" spans="2:3" x14ac:dyDescent="0.25">
      <c r="B158" s="19"/>
      <c r="C158" s="20"/>
    </row>
    <row r="159" spans="2:3" x14ac:dyDescent="0.25">
      <c r="B159" s="19"/>
      <c r="C159" s="20"/>
    </row>
    <row r="160" spans="2:3" x14ac:dyDescent="0.25">
      <c r="B160" s="19"/>
      <c r="C160" s="20"/>
    </row>
    <row r="161" spans="2:3" x14ac:dyDescent="0.25">
      <c r="B161" s="19"/>
      <c r="C161" s="20"/>
    </row>
    <row r="162" spans="2:3" x14ac:dyDescent="0.25">
      <c r="B162" s="19"/>
      <c r="C162" s="20"/>
    </row>
    <row r="163" spans="2:3" x14ac:dyDescent="0.25">
      <c r="B163" s="19"/>
      <c r="C163" s="20"/>
    </row>
    <row r="164" spans="2:3" x14ac:dyDescent="0.25">
      <c r="B164" s="19"/>
      <c r="C164" s="20"/>
    </row>
    <row r="165" spans="2:3" x14ac:dyDescent="0.25">
      <c r="B165" s="19"/>
      <c r="C165" s="20"/>
    </row>
    <row r="166" spans="2:3" x14ac:dyDescent="0.25">
      <c r="B166" s="19"/>
      <c r="C166" s="20"/>
    </row>
    <row r="167" spans="2:3" x14ac:dyDescent="0.25">
      <c r="B167" s="19"/>
      <c r="C167" s="20"/>
    </row>
    <row r="168" spans="2:3" x14ac:dyDescent="0.25">
      <c r="B168" s="19"/>
      <c r="C168" s="20"/>
    </row>
    <row r="169" spans="2:3" x14ac:dyDescent="0.25">
      <c r="B169" s="19"/>
      <c r="C169" s="20"/>
    </row>
    <row r="170" spans="2:3" x14ac:dyDescent="0.25">
      <c r="B170" s="19"/>
      <c r="C170" s="20"/>
    </row>
    <row r="171" spans="2:3" x14ac:dyDescent="0.25">
      <c r="B171" s="19"/>
      <c r="C171" s="20"/>
    </row>
    <row r="172" spans="2:3" x14ac:dyDescent="0.25">
      <c r="B172" s="19"/>
      <c r="C172" s="20"/>
    </row>
    <row r="173" spans="2:3" x14ac:dyDescent="0.25">
      <c r="B173" s="19"/>
      <c r="C173" s="20"/>
    </row>
    <row r="174" spans="2:3" x14ac:dyDescent="0.25">
      <c r="B174" s="19"/>
      <c r="C174" s="20"/>
    </row>
    <row r="175" spans="2:3" x14ac:dyDescent="0.25">
      <c r="B175" s="19"/>
      <c r="C175" s="20"/>
    </row>
    <row r="176" spans="2:3" x14ac:dyDescent="0.25">
      <c r="B176" s="19"/>
      <c r="C176" s="20"/>
    </row>
    <row r="177" spans="2:3" x14ac:dyDescent="0.25">
      <c r="B177" s="19"/>
      <c r="C177" s="20"/>
    </row>
    <row r="178" spans="2:3" x14ac:dyDescent="0.25">
      <c r="B178" s="19"/>
      <c r="C178" s="20"/>
    </row>
    <row r="179" spans="2:3" x14ac:dyDescent="0.25">
      <c r="B179" s="19"/>
      <c r="C179" s="20"/>
    </row>
    <row r="180" spans="2:3" x14ac:dyDescent="0.25">
      <c r="B180" s="19"/>
      <c r="C180" s="20"/>
    </row>
    <row r="181" spans="2:3" x14ac:dyDescent="0.25">
      <c r="B181" s="19"/>
      <c r="C181" s="20"/>
    </row>
    <row r="182" spans="2:3" x14ac:dyDescent="0.25">
      <c r="B182" s="19"/>
      <c r="C182" s="20"/>
    </row>
    <row r="183" spans="2:3" x14ac:dyDescent="0.25">
      <c r="B183" s="19"/>
      <c r="C183" s="20"/>
    </row>
    <row r="184" spans="2:3" x14ac:dyDescent="0.25">
      <c r="B184" s="19"/>
      <c r="C184" s="20"/>
    </row>
    <row r="185" spans="2:3" x14ac:dyDescent="0.25">
      <c r="B185" s="19"/>
      <c r="C185" s="20"/>
    </row>
    <row r="186" spans="2:3" x14ac:dyDescent="0.25">
      <c r="B186" s="19"/>
      <c r="C186" s="20"/>
    </row>
    <row r="187" spans="2:3" x14ac:dyDescent="0.25">
      <c r="B187" s="19"/>
      <c r="C187" s="20"/>
    </row>
    <row r="188" spans="2:3" x14ac:dyDescent="0.25">
      <c r="B188" s="19"/>
      <c r="C188" s="20"/>
    </row>
    <row r="189" spans="2:3" x14ac:dyDescent="0.25">
      <c r="B189" s="19"/>
      <c r="C189" s="20"/>
    </row>
    <row r="190" spans="2:3" x14ac:dyDescent="0.25">
      <c r="B190" s="19"/>
      <c r="C190" s="20"/>
    </row>
    <row r="191" spans="2:3" x14ac:dyDescent="0.25">
      <c r="B191" s="19"/>
      <c r="C191" s="20"/>
    </row>
    <row r="192" spans="2:3" x14ac:dyDescent="0.25">
      <c r="B192" s="19"/>
      <c r="C192" s="20"/>
    </row>
    <row r="193" spans="2:3" x14ac:dyDescent="0.25">
      <c r="B193" s="19"/>
      <c r="C193" s="20"/>
    </row>
    <row r="194" spans="2:3" x14ac:dyDescent="0.25">
      <c r="B194" s="19"/>
      <c r="C194" s="20"/>
    </row>
    <row r="195" spans="2:3" x14ac:dyDescent="0.25">
      <c r="B195" s="19"/>
      <c r="C195" s="20"/>
    </row>
    <row r="196" spans="2:3" x14ac:dyDescent="0.25">
      <c r="B196" s="19"/>
      <c r="C196" s="20"/>
    </row>
    <row r="197" spans="2:3" x14ac:dyDescent="0.25">
      <c r="B197" s="19"/>
      <c r="C197" s="20"/>
    </row>
    <row r="198" spans="2:3" x14ac:dyDescent="0.25">
      <c r="B198" s="19"/>
      <c r="C198" s="20"/>
    </row>
    <row r="199" spans="2:3" x14ac:dyDescent="0.25">
      <c r="B199" s="19"/>
      <c r="C199" s="20"/>
    </row>
    <row r="200" spans="2:3" x14ac:dyDescent="0.25">
      <c r="B200" s="19"/>
      <c r="C200" s="20"/>
    </row>
    <row r="201" spans="2:3" x14ac:dyDescent="0.25">
      <c r="B201" s="19"/>
      <c r="C201" s="20"/>
    </row>
    <row r="202" spans="2:3" x14ac:dyDescent="0.25">
      <c r="B202" s="19"/>
      <c r="C202" s="20"/>
    </row>
    <row r="203" spans="2:3" x14ac:dyDescent="0.25">
      <c r="B203" s="19"/>
      <c r="C203" s="20"/>
    </row>
    <row r="204" spans="2:3" x14ac:dyDescent="0.25">
      <c r="B204" s="19"/>
      <c r="C204" s="20"/>
    </row>
    <row r="205" spans="2:3" x14ac:dyDescent="0.25">
      <c r="B205" s="19"/>
      <c r="C205" s="20"/>
    </row>
    <row r="206" spans="2:3" x14ac:dyDescent="0.25">
      <c r="B206" s="19"/>
      <c r="C206" s="20"/>
    </row>
    <row r="207" spans="2:3" x14ac:dyDescent="0.25">
      <c r="B207" s="19"/>
      <c r="C207" s="20"/>
    </row>
    <row r="208" spans="2:3" x14ac:dyDescent="0.25">
      <c r="B208" s="19"/>
      <c r="C208" s="20"/>
    </row>
    <row r="209" spans="2:3" x14ac:dyDescent="0.25">
      <c r="B209" s="19"/>
      <c r="C209" s="20"/>
    </row>
    <row r="210" spans="2:3" x14ac:dyDescent="0.25">
      <c r="B210" s="19"/>
      <c r="C210" s="20"/>
    </row>
    <row r="211" spans="2:3" x14ac:dyDescent="0.25">
      <c r="B211" s="19"/>
      <c r="C211" s="20"/>
    </row>
    <row r="212" spans="2:3" x14ac:dyDescent="0.25">
      <c r="B212" s="19"/>
      <c r="C212" s="20"/>
    </row>
    <row r="213" spans="2:3" x14ac:dyDescent="0.25">
      <c r="B213" s="19"/>
      <c r="C213" s="20"/>
    </row>
    <row r="214" spans="2:3" x14ac:dyDescent="0.25">
      <c r="B214" s="19"/>
      <c r="C214" s="20"/>
    </row>
    <row r="215" spans="2:3" x14ac:dyDescent="0.25">
      <c r="B215" s="19"/>
      <c r="C215" s="20"/>
    </row>
    <row r="216" spans="2:3" x14ac:dyDescent="0.25">
      <c r="B216" s="19"/>
      <c r="C216" s="20"/>
    </row>
    <row r="217" spans="2:3" x14ac:dyDescent="0.25">
      <c r="B217" s="19"/>
      <c r="C217" s="20"/>
    </row>
    <row r="218" spans="2:3" x14ac:dyDescent="0.25">
      <c r="B218" s="19"/>
      <c r="C218" s="20"/>
    </row>
    <row r="219" spans="2:3" x14ac:dyDescent="0.25">
      <c r="B219" s="19"/>
      <c r="C219" s="20"/>
    </row>
    <row r="220" spans="2:3" x14ac:dyDescent="0.25">
      <c r="B220" s="19"/>
      <c r="C220" s="20"/>
    </row>
    <row r="221" spans="2:3" x14ac:dyDescent="0.25">
      <c r="B221" s="19"/>
      <c r="C221" s="20"/>
    </row>
    <row r="222" spans="2:3" x14ac:dyDescent="0.25">
      <c r="B222" s="19"/>
      <c r="C222" s="20"/>
    </row>
    <row r="223" spans="2:3" x14ac:dyDescent="0.25">
      <c r="B223" s="19"/>
      <c r="C223" s="20"/>
    </row>
    <row r="224" spans="2:3" x14ac:dyDescent="0.25">
      <c r="B224" s="19"/>
      <c r="C224" s="20"/>
    </row>
    <row r="225" spans="2:3" x14ac:dyDescent="0.25">
      <c r="B225" s="19"/>
      <c r="C225" s="20"/>
    </row>
    <row r="226" spans="2:3" x14ac:dyDescent="0.25">
      <c r="B226" s="19"/>
      <c r="C226" s="20"/>
    </row>
    <row r="227" spans="2:3" x14ac:dyDescent="0.25">
      <c r="B227" s="19"/>
      <c r="C227" s="20"/>
    </row>
    <row r="228" spans="2:3" x14ac:dyDescent="0.25">
      <c r="B228" s="19"/>
      <c r="C228" s="20"/>
    </row>
    <row r="229" spans="2:3" x14ac:dyDescent="0.25">
      <c r="B229" s="19"/>
      <c r="C229" s="20"/>
    </row>
    <row r="230" spans="2:3" x14ac:dyDescent="0.25">
      <c r="B230" s="19"/>
      <c r="C230" s="20"/>
    </row>
    <row r="231" spans="2:3" x14ac:dyDescent="0.25">
      <c r="B231" s="19"/>
      <c r="C231" s="20"/>
    </row>
    <row r="232" spans="2:3" x14ac:dyDescent="0.25">
      <c r="B232" s="19"/>
      <c r="C232" s="20"/>
    </row>
    <row r="233" spans="2:3" x14ac:dyDescent="0.25">
      <c r="B233" s="19"/>
      <c r="C233" s="20"/>
    </row>
    <row r="234" spans="2:3" x14ac:dyDescent="0.25">
      <c r="B234" s="19"/>
      <c r="C234" s="20"/>
    </row>
    <row r="235" spans="2:3" x14ac:dyDescent="0.25">
      <c r="B235" s="19"/>
      <c r="C235" s="20"/>
    </row>
    <row r="236" spans="2:3" x14ac:dyDescent="0.25">
      <c r="B236" s="19"/>
      <c r="C236" s="20"/>
    </row>
    <row r="237" spans="2:3" x14ac:dyDescent="0.25">
      <c r="B237" s="19"/>
      <c r="C237" s="20"/>
    </row>
    <row r="238" spans="2:3" x14ac:dyDescent="0.25">
      <c r="B238" s="19"/>
      <c r="C238" s="20"/>
    </row>
    <row r="239" spans="2:3" x14ac:dyDescent="0.25">
      <c r="B239" s="19"/>
      <c r="C239" s="20"/>
    </row>
    <row r="240" spans="2:3" x14ac:dyDescent="0.25">
      <c r="B240" s="19"/>
      <c r="C240" s="20"/>
    </row>
    <row r="241" spans="2:3" x14ac:dyDescent="0.25">
      <c r="B241" s="19"/>
      <c r="C241" s="20"/>
    </row>
    <row r="242" spans="2:3" x14ac:dyDescent="0.25">
      <c r="B242" s="19"/>
      <c r="C242" s="20"/>
    </row>
    <row r="243" spans="2:3" x14ac:dyDescent="0.25">
      <c r="B243" s="19"/>
      <c r="C243" s="20"/>
    </row>
    <row r="244" spans="2:3" x14ac:dyDescent="0.25">
      <c r="B244" s="19"/>
      <c r="C244" s="20"/>
    </row>
    <row r="245" spans="2:3" x14ac:dyDescent="0.25">
      <c r="B245" s="19"/>
      <c r="C245" s="20"/>
    </row>
    <row r="246" spans="2:3" x14ac:dyDescent="0.25">
      <c r="B246" s="19"/>
      <c r="C246" s="20"/>
    </row>
    <row r="247" spans="2:3" x14ac:dyDescent="0.25">
      <c r="B247" s="19"/>
      <c r="C247" s="20"/>
    </row>
    <row r="248" spans="2:3" x14ac:dyDescent="0.25">
      <c r="B248" s="19"/>
      <c r="C248" s="20"/>
    </row>
    <row r="249" spans="2:3" x14ac:dyDescent="0.25">
      <c r="B249" s="19"/>
      <c r="C249" s="20"/>
    </row>
    <row r="250" spans="2:3" x14ac:dyDescent="0.25">
      <c r="B250" s="19"/>
      <c r="C250" s="20"/>
    </row>
    <row r="251" spans="2:3" x14ac:dyDescent="0.25">
      <c r="B251" s="19"/>
      <c r="C251" s="20"/>
    </row>
    <row r="252" spans="2:3" x14ac:dyDescent="0.25">
      <c r="B252" s="19"/>
      <c r="C252" s="20"/>
    </row>
    <row r="253" spans="2:3" x14ac:dyDescent="0.25">
      <c r="B253" s="19"/>
      <c r="C253" s="20"/>
    </row>
    <row r="254" spans="2:3" x14ac:dyDescent="0.25">
      <c r="B254" s="19"/>
      <c r="C254" s="20"/>
    </row>
    <row r="255" spans="2:3" x14ac:dyDescent="0.25">
      <c r="B255" s="19"/>
      <c r="C255" s="20"/>
    </row>
    <row r="256" spans="2:3" x14ac:dyDescent="0.25">
      <c r="B256" s="19"/>
      <c r="C256" s="20"/>
    </row>
    <row r="257" spans="2:3" x14ac:dyDescent="0.25">
      <c r="B257" s="19"/>
      <c r="C257" s="20"/>
    </row>
    <row r="258" spans="2:3" x14ac:dyDescent="0.25">
      <c r="B258" s="19"/>
      <c r="C258" s="20"/>
    </row>
    <row r="259" spans="2:3" x14ac:dyDescent="0.25">
      <c r="B259" s="19"/>
      <c r="C259" s="20"/>
    </row>
    <row r="260" spans="2:3" x14ac:dyDescent="0.25">
      <c r="B260" s="19"/>
      <c r="C260" s="20"/>
    </row>
    <row r="261" spans="2:3" x14ac:dyDescent="0.25">
      <c r="B261" s="19"/>
      <c r="C261" s="20"/>
    </row>
    <row r="262" spans="2:3" x14ac:dyDescent="0.25">
      <c r="B262" s="19"/>
      <c r="C262" s="20"/>
    </row>
    <row r="263" spans="2:3" x14ac:dyDescent="0.25">
      <c r="B263" s="19"/>
      <c r="C263" s="20"/>
    </row>
    <row r="264" spans="2:3" x14ac:dyDescent="0.25">
      <c r="B264" s="19"/>
      <c r="C264" s="20"/>
    </row>
    <row r="265" spans="2:3" x14ac:dyDescent="0.25">
      <c r="B265" s="19"/>
      <c r="C265" s="20"/>
    </row>
    <row r="266" spans="2:3" x14ac:dyDescent="0.25">
      <c r="B266" s="19"/>
      <c r="C266" s="20"/>
    </row>
    <row r="267" spans="2:3" x14ac:dyDescent="0.25">
      <c r="B267" s="19"/>
      <c r="C267" s="20"/>
    </row>
    <row r="268" spans="2:3" x14ac:dyDescent="0.25">
      <c r="B268" s="19"/>
      <c r="C268" s="20"/>
    </row>
    <row r="269" spans="2:3" x14ac:dyDescent="0.25">
      <c r="B269" s="19"/>
      <c r="C269" s="20"/>
    </row>
    <row r="270" spans="2:3" x14ac:dyDescent="0.25">
      <c r="B270" s="19"/>
      <c r="C270" s="20"/>
    </row>
    <row r="271" spans="2:3" x14ac:dyDescent="0.25">
      <c r="B271" s="19"/>
      <c r="C271" s="20"/>
    </row>
    <row r="272" spans="2:3" x14ac:dyDescent="0.25">
      <c r="B272" s="19"/>
      <c r="C272" s="20"/>
    </row>
    <row r="273" spans="2:3" x14ac:dyDescent="0.25">
      <c r="B273" s="19"/>
      <c r="C273" s="20"/>
    </row>
    <row r="274" spans="2:3" x14ac:dyDescent="0.25">
      <c r="B274" s="19"/>
      <c r="C274" s="20"/>
    </row>
    <row r="275" spans="2:3" x14ac:dyDescent="0.25">
      <c r="B275" s="19"/>
      <c r="C275" s="20"/>
    </row>
    <row r="276" spans="2:3" x14ac:dyDescent="0.25">
      <c r="B276" s="19"/>
      <c r="C276" s="20"/>
    </row>
    <row r="277" spans="2:3" x14ac:dyDescent="0.25">
      <c r="B277" s="19"/>
      <c r="C277" s="20"/>
    </row>
    <row r="278" spans="2:3" x14ac:dyDescent="0.25">
      <c r="B278" s="19"/>
      <c r="C278" s="20"/>
    </row>
    <row r="279" spans="2:3" x14ac:dyDescent="0.25">
      <c r="B279" s="19"/>
      <c r="C279" s="20"/>
    </row>
    <row r="280" spans="2:3" x14ac:dyDescent="0.25">
      <c r="B280" s="19"/>
      <c r="C280" s="20"/>
    </row>
    <row r="281" spans="2:3" x14ac:dyDescent="0.25">
      <c r="B281" s="19"/>
      <c r="C281" s="20"/>
    </row>
    <row r="282" spans="2:3" x14ac:dyDescent="0.25">
      <c r="B282" s="19"/>
      <c r="C282" s="20"/>
    </row>
    <row r="283" spans="2:3" x14ac:dyDescent="0.25">
      <c r="B283" s="19"/>
      <c r="C283" s="20"/>
    </row>
    <row r="284" spans="2:3" x14ac:dyDescent="0.25">
      <c r="B284" s="19"/>
      <c r="C284" s="20"/>
    </row>
    <row r="285" spans="2:3" x14ac:dyDescent="0.25">
      <c r="B285" s="19"/>
      <c r="C285" s="20"/>
    </row>
    <row r="286" spans="2:3" x14ac:dyDescent="0.25">
      <c r="B286" s="19"/>
      <c r="C286" s="20"/>
    </row>
    <row r="287" spans="2:3" x14ac:dyDescent="0.25">
      <c r="B287" s="19"/>
      <c r="C287" s="20"/>
    </row>
    <row r="288" spans="2:3" x14ac:dyDescent="0.25">
      <c r="B288" s="19"/>
      <c r="C288" s="20"/>
    </row>
    <row r="289" spans="2:3" x14ac:dyDescent="0.25">
      <c r="B289" s="19"/>
      <c r="C289" s="20"/>
    </row>
    <row r="290" spans="2:3" x14ac:dyDescent="0.25">
      <c r="B290" s="19"/>
      <c r="C290" s="20"/>
    </row>
    <row r="291" spans="2:3" x14ac:dyDescent="0.25">
      <c r="B291" s="19"/>
      <c r="C291" s="20"/>
    </row>
    <row r="292" spans="2:3" x14ac:dyDescent="0.25">
      <c r="B292" s="19"/>
      <c r="C292" s="20"/>
    </row>
    <row r="293" spans="2:3" x14ac:dyDescent="0.25">
      <c r="B293" s="19"/>
      <c r="C293" s="20"/>
    </row>
    <row r="294" spans="2:3" x14ac:dyDescent="0.25">
      <c r="B294" s="19"/>
      <c r="C294" s="20"/>
    </row>
    <row r="295" spans="2:3" x14ac:dyDescent="0.25">
      <c r="B295" s="19"/>
      <c r="C295" s="20"/>
    </row>
    <row r="296" spans="2:3" x14ac:dyDescent="0.25">
      <c r="B296" s="19"/>
      <c r="C296" s="20"/>
    </row>
    <row r="297" spans="2:3" x14ac:dyDescent="0.25">
      <c r="B297" s="19"/>
      <c r="C297" s="20"/>
    </row>
    <row r="298" spans="2:3" x14ac:dyDescent="0.25">
      <c r="B298" s="19"/>
      <c r="C298" s="20"/>
    </row>
    <row r="299" spans="2:3" x14ac:dyDescent="0.25">
      <c r="B299" s="19"/>
      <c r="C299" s="20"/>
    </row>
    <row r="300" spans="2:3" x14ac:dyDescent="0.25">
      <c r="B300" s="19"/>
      <c r="C300" s="20"/>
    </row>
    <row r="301" spans="2:3" x14ac:dyDescent="0.25">
      <c r="B301" s="19"/>
      <c r="C301" s="20"/>
    </row>
    <row r="302" spans="2:3" x14ac:dyDescent="0.25">
      <c r="B302" s="19"/>
      <c r="C302" s="20"/>
    </row>
    <row r="303" spans="2:3" x14ac:dyDescent="0.25">
      <c r="B303" s="19"/>
      <c r="C303" s="20"/>
    </row>
    <row r="304" spans="2:3" x14ac:dyDescent="0.25">
      <c r="B304" s="19"/>
      <c r="C304" s="20"/>
    </row>
    <row r="305" spans="2:3" x14ac:dyDescent="0.25">
      <c r="B305" s="19"/>
      <c r="C305" s="20"/>
    </row>
    <row r="306" spans="2:3" x14ac:dyDescent="0.25">
      <c r="B306" s="19"/>
      <c r="C306" s="20"/>
    </row>
    <row r="307" spans="2:3" x14ac:dyDescent="0.25">
      <c r="B307" s="19"/>
      <c r="C307" s="20"/>
    </row>
    <row r="308" spans="2:3" x14ac:dyDescent="0.25">
      <c r="B308" s="19"/>
      <c r="C308" s="20"/>
    </row>
    <row r="309" spans="2:3" x14ac:dyDescent="0.25">
      <c r="B309" s="19"/>
      <c r="C309" s="20"/>
    </row>
    <row r="310" spans="2:3" x14ac:dyDescent="0.25">
      <c r="B310" s="19"/>
      <c r="C310" s="20"/>
    </row>
    <row r="311" spans="2:3" x14ac:dyDescent="0.25">
      <c r="B311" s="19"/>
      <c r="C311" s="20"/>
    </row>
    <row r="312" spans="2:3" x14ac:dyDescent="0.25">
      <c r="B312" s="19"/>
      <c r="C312" s="20"/>
    </row>
    <row r="313" spans="2:3" x14ac:dyDescent="0.25">
      <c r="B313" s="19"/>
      <c r="C313" s="20"/>
    </row>
    <row r="314" spans="2:3" x14ac:dyDescent="0.25">
      <c r="B314" s="19"/>
      <c r="C314" s="20"/>
    </row>
    <row r="315" spans="2:3" x14ac:dyDescent="0.25">
      <c r="B315" s="19"/>
      <c r="C315" s="20"/>
    </row>
    <row r="316" spans="2:3" x14ac:dyDescent="0.25">
      <c r="B316" s="19"/>
      <c r="C316" s="20"/>
    </row>
    <row r="317" spans="2:3" x14ac:dyDescent="0.25">
      <c r="B317" s="19"/>
      <c r="C317" s="20"/>
    </row>
    <row r="318" spans="2:3" x14ac:dyDescent="0.25">
      <c r="B318" s="19"/>
      <c r="C318" s="20"/>
    </row>
    <row r="319" spans="2:3" x14ac:dyDescent="0.25">
      <c r="B319" s="19"/>
      <c r="C319" s="20"/>
    </row>
    <row r="320" spans="2:3" x14ac:dyDescent="0.25">
      <c r="B320" s="19"/>
      <c r="C320" s="20"/>
    </row>
    <row r="321" spans="2:3" x14ac:dyDescent="0.25">
      <c r="B321" s="19"/>
      <c r="C321" s="20"/>
    </row>
    <row r="322" spans="2:3" x14ac:dyDescent="0.25">
      <c r="B322" s="19"/>
      <c r="C322" s="20"/>
    </row>
    <row r="323" spans="2:3" x14ac:dyDescent="0.25">
      <c r="B323" s="19"/>
      <c r="C323" s="20"/>
    </row>
    <row r="324" spans="2:3" x14ac:dyDescent="0.25">
      <c r="B324" s="19"/>
      <c r="C324" s="20"/>
    </row>
    <row r="325" spans="2:3" x14ac:dyDescent="0.25">
      <c r="B325" s="19"/>
      <c r="C325" s="20"/>
    </row>
    <row r="326" spans="2:3" x14ac:dyDescent="0.25">
      <c r="B326" s="19"/>
      <c r="C326" s="20"/>
    </row>
    <row r="327" spans="2:3" x14ac:dyDescent="0.25">
      <c r="B327" s="19"/>
      <c r="C327" s="20"/>
    </row>
    <row r="328" spans="2:3" x14ac:dyDescent="0.25">
      <c r="B328" s="19"/>
      <c r="C328" s="20"/>
    </row>
    <row r="329" spans="2:3" x14ac:dyDescent="0.25">
      <c r="B329" s="19"/>
      <c r="C329" s="20"/>
    </row>
    <row r="330" spans="2:3" x14ac:dyDescent="0.25">
      <c r="B330" s="19"/>
      <c r="C330" s="20"/>
    </row>
    <row r="331" spans="2:3" x14ac:dyDescent="0.25">
      <c r="B331" s="19"/>
      <c r="C331" s="20"/>
    </row>
    <row r="332" spans="2:3" x14ac:dyDescent="0.25">
      <c r="B332" s="19"/>
      <c r="C332" s="20"/>
    </row>
    <row r="333" spans="2:3" x14ac:dyDescent="0.25">
      <c r="B333" s="19"/>
      <c r="C333" s="20"/>
    </row>
    <row r="334" spans="2:3" x14ac:dyDescent="0.25">
      <c r="B334" s="19"/>
      <c r="C334" s="20"/>
    </row>
    <row r="335" spans="2:3" x14ac:dyDescent="0.25">
      <c r="B335" s="19"/>
      <c r="C335" s="20"/>
    </row>
    <row r="336" spans="2:3" x14ac:dyDescent="0.25">
      <c r="B336" s="19"/>
      <c r="C336" s="20"/>
    </row>
    <row r="337" spans="2:3" x14ac:dyDescent="0.25">
      <c r="B337" s="19"/>
      <c r="C337" s="20"/>
    </row>
    <row r="338" spans="2:3" x14ac:dyDescent="0.25">
      <c r="B338" s="19"/>
      <c r="C338" s="20"/>
    </row>
    <row r="339" spans="2:3" x14ac:dyDescent="0.25">
      <c r="B339" s="19"/>
      <c r="C339" s="20"/>
    </row>
    <row r="340" spans="2:3" x14ac:dyDescent="0.25">
      <c r="B340" s="19"/>
      <c r="C340" s="20"/>
    </row>
    <row r="341" spans="2:3" x14ac:dyDescent="0.25">
      <c r="B341" s="19"/>
      <c r="C341" s="20"/>
    </row>
    <row r="342" spans="2:3" x14ac:dyDescent="0.25">
      <c r="B342" s="19"/>
      <c r="C342" s="20"/>
    </row>
    <row r="343" spans="2:3" x14ac:dyDescent="0.25">
      <c r="B343" s="19"/>
      <c r="C343" s="20"/>
    </row>
    <row r="344" spans="2:3" x14ac:dyDescent="0.25">
      <c r="B344" s="19"/>
      <c r="C344" s="20"/>
    </row>
    <row r="345" spans="2:3" x14ac:dyDescent="0.25">
      <c r="B345" s="19"/>
      <c r="C345" s="20"/>
    </row>
    <row r="346" spans="2:3" x14ac:dyDescent="0.25">
      <c r="B346" s="19"/>
      <c r="C346" s="20"/>
    </row>
    <row r="347" spans="2:3" x14ac:dyDescent="0.25">
      <c r="B347" s="19"/>
      <c r="C347" s="20"/>
    </row>
    <row r="348" spans="2:3" x14ac:dyDescent="0.25">
      <c r="B348" s="19"/>
      <c r="C348" s="20"/>
    </row>
    <row r="349" spans="2:3" x14ac:dyDescent="0.25">
      <c r="B349" s="19"/>
      <c r="C349" s="20"/>
    </row>
    <row r="350" spans="2:3" x14ac:dyDescent="0.25">
      <c r="B350" s="19"/>
      <c r="C350" s="20"/>
    </row>
    <row r="351" spans="2:3" x14ac:dyDescent="0.25">
      <c r="B351" s="19"/>
      <c r="C351" s="20"/>
    </row>
    <row r="352" spans="2:3" x14ac:dyDescent="0.25">
      <c r="B352" s="19"/>
      <c r="C352" s="20"/>
    </row>
    <row r="353" spans="2:3" x14ac:dyDescent="0.25">
      <c r="B353" s="19"/>
      <c r="C353" s="20"/>
    </row>
    <row r="354" spans="2:3" x14ac:dyDescent="0.25">
      <c r="B354" s="19"/>
      <c r="C354" s="20"/>
    </row>
    <row r="355" spans="2:3" x14ac:dyDescent="0.25">
      <c r="B355" s="19"/>
      <c r="C355" s="20"/>
    </row>
    <row r="356" spans="2:3" x14ac:dyDescent="0.25">
      <c r="B356" s="19"/>
      <c r="C356" s="20"/>
    </row>
    <row r="357" spans="2:3" x14ac:dyDescent="0.25">
      <c r="B357" s="19"/>
      <c r="C357" s="20"/>
    </row>
    <row r="358" spans="2:3" x14ac:dyDescent="0.25">
      <c r="B358" s="19"/>
      <c r="C358" s="20"/>
    </row>
    <row r="359" spans="2:3" x14ac:dyDescent="0.25">
      <c r="B359" s="19"/>
      <c r="C359" s="20"/>
    </row>
    <row r="360" spans="2:3" x14ac:dyDescent="0.25">
      <c r="B360" s="19"/>
      <c r="C360" s="20"/>
    </row>
    <row r="361" spans="2:3" x14ac:dyDescent="0.25">
      <c r="B361" s="19"/>
      <c r="C361" s="20"/>
    </row>
    <row r="362" spans="2:3" x14ac:dyDescent="0.25">
      <c r="B362" s="19"/>
      <c r="C362" s="20"/>
    </row>
    <row r="363" spans="2:3" x14ac:dyDescent="0.25">
      <c r="B363" s="19"/>
      <c r="C363" s="20"/>
    </row>
    <row r="364" spans="2:3" x14ac:dyDescent="0.25">
      <c r="B364" s="19"/>
      <c r="C364" s="20"/>
    </row>
    <row r="365" spans="2:3" x14ac:dyDescent="0.25">
      <c r="B365" s="19"/>
      <c r="C365" s="20"/>
    </row>
    <row r="366" spans="2:3" x14ac:dyDescent="0.25">
      <c r="B366" s="19"/>
      <c r="C366" s="20"/>
    </row>
    <row r="367" spans="2:3" x14ac:dyDescent="0.25">
      <c r="B367" s="19"/>
      <c r="C367" s="20"/>
    </row>
    <row r="368" spans="2:3" x14ac:dyDescent="0.25">
      <c r="B368" s="19"/>
      <c r="C368" s="20"/>
    </row>
    <row r="369" spans="2:3" x14ac:dyDescent="0.25">
      <c r="B369" s="19"/>
      <c r="C369" s="20"/>
    </row>
    <row r="370" spans="2:3" x14ac:dyDescent="0.25">
      <c r="B370" s="19"/>
      <c r="C370" s="20"/>
    </row>
    <row r="371" spans="2:3" x14ac:dyDescent="0.25">
      <c r="B371" s="19"/>
      <c r="C371" s="20"/>
    </row>
    <row r="372" spans="2:3" x14ac:dyDescent="0.25">
      <c r="B372" s="19"/>
      <c r="C372" s="20"/>
    </row>
    <row r="373" spans="2:3" x14ac:dyDescent="0.25">
      <c r="B373" s="19"/>
      <c r="C373" s="20"/>
    </row>
    <row r="374" spans="2:3" x14ac:dyDescent="0.25">
      <c r="B374" s="19"/>
      <c r="C374" s="20"/>
    </row>
    <row r="375" spans="2:3" x14ac:dyDescent="0.25">
      <c r="B375" s="19"/>
      <c r="C375" s="20"/>
    </row>
    <row r="376" spans="2:3" x14ac:dyDescent="0.25">
      <c r="B376" s="19"/>
      <c r="C376" s="20"/>
    </row>
    <row r="377" spans="2:3" x14ac:dyDescent="0.25">
      <c r="B377" s="19"/>
      <c r="C377" s="20"/>
    </row>
    <row r="378" spans="2:3" x14ac:dyDescent="0.25">
      <c r="B378" s="19"/>
      <c r="C378" s="20"/>
    </row>
    <row r="379" spans="2:3" x14ac:dyDescent="0.25">
      <c r="B379" s="19"/>
      <c r="C379" s="20"/>
    </row>
    <row r="380" spans="2:3" x14ac:dyDescent="0.25">
      <c r="B380" s="19"/>
      <c r="C380" s="20"/>
    </row>
    <row r="381" spans="2:3" x14ac:dyDescent="0.25">
      <c r="B381" s="19"/>
      <c r="C381" s="20"/>
    </row>
    <row r="382" spans="2:3" x14ac:dyDescent="0.25">
      <c r="B382" s="19"/>
      <c r="C382" s="20"/>
    </row>
    <row r="383" spans="2:3" x14ac:dyDescent="0.25">
      <c r="B383" s="19"/>
      <c r="C383" s="20"/>
    </row>
    <row r="384" spans="2:3" x14ac:dyDescent="0.25">
      <c r="B384" s="19"/>
      <c r="C384" s="20"/>
    </row>
    <row r="385" spans="2:3" x14ac:dyDescent="0.25">
      <c r="B385" s="19"/>
      <c r="C385" s="20"/>
    </row>
    <row r="386" spans="2:3" x14ac:dyDescent="0.25">
      <c r="B386" s="19"/>
      <c r="C386" s="20"/>
    </row>
    <row r="387" spans="2:3" x14ac:dyDescent="0.25">
      <c r="B387" s="19"/>
      <c r="C387" s="20"/>
    </row>
    <row r="388" spans="2:3" x14ac:dyDescent="0.25">
      <c r="B388" s="19"/>
      <c r="C388" s="20"/>
    </row>
    <row r="389" spans="2:3" x14ac:dyDescent="0.25">
      <c r="B389" s="19"/>
      <c r="C389" s="20"/>
    </row>
    <row r="390" spans="2:3" x14ac:dyDescent="0.25">
      <c r="B390" s="19"/>
      <c r="C390" s="20"/>
    </row>
    <row r="391" spans="2:3" x14ac:dyDescent="0.25">
      <c r="B391" s="19"/>
      <c r="C391" s="20"/>
    </row>
    <row r="392" spans="2:3" x14ac:dyDescent="0.25">
      <c r="B392" s="19"/>
      <c r="C392" s="20"/>
    </row>
    <row r="393" spans="2:3" x14ac:dyDescent="0.25">
      <c r="B393" s="19"/>
      <c r="C393" s="20"/>
    </row>
    <row r="394" spans="2:3" x14ac:dyDescent="0.25">
      <c r="B394" s="19"/>
      <c r="C394" s="20"/>
    </row>
    <row r="395" spans="2:3" x14ac:dyDescent="0.25">
      <c r="B395" s="19"/>
      <c r="C395" s="20"/>
    </row>
    <row r="396" spans="2:3" x14ac:dyDescent="0.25">
      <c r="B396" s="19"/>
      <c r="C396" s="20"/>
    </row>
    <row r="397" spans="2:3" x14ac:dyDescent="0.25">
      <c r="B397" s="19"/>
      <c r="C397" s="20"/>
    </row>
    <row r="398" spans="2:3" x14ac:dyDescent="0.25">
      <c r="B398" s="19"/>
      <c r="C398" s="20"/>
    </row>
    <row r="399" spans="2:3" x14ac:dyDescent="0.25">
      <c r="B399" s="19"/>
      <c r="C399" s="20"/>
    </row>
    <row r="400" spans="2:3" x14ac:dyDescent="0.25">
      <c r="B400" s="19"/>
      <c r="C400" s="20"/>
    </row>
    <row r="401" spans="2:3" x14ac:dyDescent="0.25">
      <c r="B401" s="19"/>
      <c r="C401" s="20"/>
    </row>
    <row r="402" spans="2:3" x14ac:dyDescent="0.25">
      <c r="B402" s="19"/>
      <c r="C402" s="20"/>
    </row>
    <row r="403" spans="2:3" x14ac:dyDescent="0.25">
      <c r="B403" s="19"/>
      <c r="C403" s="20"/>
    </row>
    <row r="404" spans="2:3" x14ac:dyDescent="0.25">
      <c r="B404" s="19"/>
      <c r="C404" s="20"/>
    </row>
    <row r="405" spans="2:3" x14ac:dyDescent="0.25">
      <c r="B405" s="19"/>
      <c r="C405" s="20"/>
    </row>
    <row r="406" spans="2:3" x14ac:dyDescent="0.25">
      <c r="B406" s="19"/>
      <c r="C406" s="20"/>
    </row>
    <row r="407" spans="2:3" x14ac:dyDescent="0.25">
      <c r="B407" s="19"/>
      <c r="C407" s="20"/>
    </row>
    <row r="408" spans="2:3" x14ac:dyDescent="0.25">
      <c r="B408" s="19"/>
      <c r="C408" s="20"/>
    </row>
    <row r="409" spans="2:3" x14ac:dyDescent="0.25">
      <c r="B409" s="19"/>
      <c r="C409" s="20"/>
    </row>
    <row r="410" spans="2:3" x14ac:dyDescent="0.25">
      <c r="B410" s="19"/>
      <c r="C410" s="20"/>
    </row>
    <row r="411" spans="2:3" x14ac:dyDescent="0.25">
      <c r="B411" s="19"/>
      <c r="C411" s="20"/>
    </row>
    <row r="412" spans="2:3" x14ac:dyDescent="0.25">
      <c r="B412" s="19"/>
      <c r="C412" s="20"/>
    </row>
    <row r="413" spans="2:3" x14ac:dyDescent="0.25">
      <c r="B413" s="19"/>
      <c r="C413" s="20"/>
    </row>
    <row r="414" spans="2:3" x14ac:dyDescent="0.25">
      <c r="B414" s="19"/>
      <c r="C414" s="20"/>
    </row>
    <row r="415" spans="2:3" x14ac:dyDescent="0.25">
      <c r="B415" s="19"/>
      <c r="C415" s="20"/>
    </row>
    <row r="416" spans="2:3" x14ac:dyDescent="0.25">
      <c r="B416" s="19"/>
      <c r="C416" s="20"/>
    </row>
    <row r="417" spans="2:3" x14ac:dyDescent="0.25">
      <c r="B417" s="19"/>
      <c r="C417" s="20"/>
    </row>
    <row r="418" spans="2:3" x14ac:dyDescent="0.25">
      <c r="B418" s="19"/>
      <c r="C418" s="20"/>
    </row>
    <row r="419" spans="2:3" x14ac:dyDescent="0.25">
      <c r="B419" s="19"/>
      <c r="C419" s="20"/>
    </row>
    <row r="420" spans="2:3" x14ac:dyDescent="0.25">
      <c r="B420" s="19"/>
      <c r="C420" s="20"/>
    </row>
    <row r="421" spans="2:3" x14ac:dyDescent="0.25">
      <c r="B421" s="19"/>
      <c r="C421" s="20"/>
    </row>
    <row r="422" spans="2:3" x14ac:dyDescent="0.25">
      <c r="B422" s="19"/>
      <c r="C422" s="20"/>
    </row>
    <row r="423" spans="2:3" x14ac:dyDescent="0.25">
      <c r="B423" s="19"/>
      <c r="C423" s="20"/>
    </row>
    <row r="424" spans="2:3" x14ac:dyDescent="0.25">
      <c r="B424" s="19"/>
      <c r="C424" s="20"/>
    </row>
    <row r="425" spans="2:3" x14ac:dyDescent="0.25">
      <c r="B425" s="19"/>
      <c r="C425" s="20"/>
    </row>
    <row r="426" spans="2:3" x14ac:dyDescent="0.25">
      <c r="B426" s="19"/>
      <c r="C426" s="20"/>
    </row>
    <row r="427" spans="2:3" x14ac:dyDescent="0.25">
      <c r="B427" s="19"/>
      <c r="C427" s="20"/>
    </row>
    <row r="428" spans="2:3" x14ac:dyDescent="0.25">
      <c r="B428" s="19"/>
      <c r="C428" s="20"/>
    </row>
    <row r="429" spans="2:3" x14ac:dyDescent="0.25">
      <c r="B429" s="19"/>
      <c r="C429" s="20"/>
    </row>
    <row r="430" spans="2:3" x14ac:dyDescent="0.25">
      <c r="B430" s="19"/>
      <c r="C430" s="20"/>
    </row>
    <row r="431" spans="2:3" x14ac:dyDescent="0.25">
      <c r="B431" s="19"/>
      <c r="C431" s="20"/>
    </row>
    <row r="432" spans="2:3" x14ac:dyDescent="0.25">
      <c r="B432" s="19"/>
      <c r="C432" s="20"/>
    </row>
    <row r="433" spans="2:3" x14ac:dyDescent="0.25">
      <c r="B433" s="19"/>
      <c r="C433" s="20"/>
    </row>
    <row r="434" spans="2:3" x14ac:dyDescent="0.25">
      <c r="B434" s="19"/>
      <c r="C434" s="20"/>
    </row>
    <row r="435" spans="2:3" x14ac:dyDescent="0.25">
      <c r="B435" s="19"/>
      <c r="C435" s="20"/>
    </row>
    <row r="436" spans="2:3" x14ac:dyDescent="0.25">
      <c r="B436" s="19"/>
      <c r="C436" s="20"/>
    </row>
    <row r="437" spans="2:3" x14ac:dyDescent="0.25">
      <c r="B437" s="19"/>
      <c r="C437" s="20"/>
    </row>
    <row r="438" spans="2:3" x14ac:dyDescent="0.25">
      <c r="B438" s="19"/>
      <c r="C438" s="20"/>
    </row>
    <row r="439" spans="2:3" x14ac:dyDescent="0.25">
      <c r="B439" s="19"/>
      <c r="C439" s="20"/>
    </row>
    <row r="440" spans="2:3" x14ac:dyDescent="0.25">
      <c r="B440" s="19"/>
      <c r="C440" s="20"/>
    </row>
    <row r="441" spans="2:3" x14ac:dyDescent="0.25">
      <c r="B441" s="19"/>
      <c r="C441" s="20"/>
    </row>
    <row r="442" spans="2:3" x14ac:dyDescent="0.25">
      <c r="B442" s="19"/>
      <c r="C442" s="20"/>
    </row>
    <row r="443" spans="2:3" x14ac:dyDescent="0.25">
      <c r="B443" s="19"/>
      <c r="C443" s="20"/>
    </row>
    <row r="444" spans="2:3" x14ac:dyDescent="0.25">
      <c r="B444" s="19"/>
      <c r="C444" s="20"/>
    </row>
    <row r="445" spans="2:3" x14ac:dyDescent="0.25">
      <c r="B445" s="19"/>
      <c r="C445" s="20"/>
    </row>
    <row r="446" spans="2:3" x14ac:dyDescent="0.25">
      <c r="B446" s="19"/>
      <c r="C446" s="20"/>
    </row>
    <row r="447" spans="2:3" x14ac:dyDescent="0.25">
      <c r="B447" s="19"/>
      <c r="C447" s="20"/>
    </row>
    <row r="448" spans="2:3" x14ac:dyDescent="0.25">
      <c r="B448" s="19"/>
      <c r="C448" s="20"/>
    </row>
    <row r="449" spans="2:3" x14ac:dyDescent="0.25">
      <c r="B449" s="19"/>
      <c r="C449" s="20"/>
    </row>
    <row r="450" spans="2:3" x14ac:dyDescent="0.25">
      <c r="B450" s="19"/>
      <c r="C450" s="20"/>
    </row>
    <row r="451" spans="2:3" x14ac:dyDescent="0.25">
      <c r="B451" s="19"/>
      <c r="C451" s="20"/>
    </row>
    <row r="452" spans="2:3" x14ac:dyDescent="0.25">
      <c r="B452" s="19"/>
      <c r="C452" s="20"/>
    </row>
    <row r="453" spans="2:3" x14ac:dyDescent="0.25">
      <c r="B453" s="19"/>
      <c r="C453" s="20"/>
    </row>
    <row r="454" spans="2:3" x14ac:dyDescent="0.25">
      <c r="B454" s="19"/>
      <c r="C454" s="20"/>
    </row>
    <row r="455" spans="2:3" x14ac:dyDescent="0.25">
      <c r="B455" s="19"/>
      <c r="C455" s="20"/>
    </row>
    <row r="456" spans="2:3" x14ac:dyDescent="0.25">
      <c r="B456" s="19"/>
      <c r="C456" s="20"/>
    </row>
    <row r="457" spans="2:3" x14ac:dyDescent="0.25">
      <c r="B457" s="19"/>
      <c r="C457" s="20"/>
    </row>
    <row r="458" spans="2:3" x14ac:dyDescent="0.25">
      <c r="B458" s="19"/>
      <c r="C458" s="20"/>
    </row>
    <row r="459" spans="2:3" x14ac:dyDescent="0.25">
      <c r="B459" s="19"/>
      <c r="C459" s="20"/>
    </row>
    <row r="460" spans="2:3" x14ac:dyDescent="0.25">
      <c r="B460" s="19"/>
      <c r="C460" s="20"/>
    </row>
    <row r="461" spans="2:3" x14ac:dyDescent="0.25">
      <c r="B461" s="19"/>
      <c r="C461" s="20"/>
    </row>
    <row r="462" spans="2:3" x14ac:dyDescent="0.25">
      <c r="B462" s="19"/>
      <c r="C462" s="20"/>
    </row>
    <row r="463" spans="2:3" x14ac:dyDescent="0.25">
      <c r="B463" s="19"/>
      <c r="C463" s="20"/>
    </row>
    <row r="464" spans="2:3" x14ac:dyDescent="0.25">
      <c r="B464" s="19"/>
      <c r="C464" s="20"/>
    </row>
    <row r="465" spans="2:3" x14ac:dyDescent="0.25">
      <c r="B465" s="19"/>
      <c r="C465" s="20"/>
    </row>
    <row r="466" spans="2:3" x14ac:dyDescent="0.25">
      <c r="B466" s="19"/>
      <c r="C466" s="20"/>
    </row>
    <row r="467" spans="2:3" x14ac:dyDescent="0.25">
      <c r="B467" s="19"/>
      <c r="C467" s="20"/>
    </row>
    <row r="468" spans="2:3" x14ac:dyDescent="0.25">
      <c r="B468" s="19"/>
      <c r="C468" s="20"/>
    </row>
    <row r="469" spans="2:3" x14ac:dyDescent="0.25">
      <c r="B469" s="19"/>
      <c r="C469" s="20"/>
    </row>
    <row r="470" spans="2:3" x14ac:dyDescent="0.25">
      <c r="B470" s="19"/>
      <c r="C470" s="20"/>
    </row>
    <row r="471" spans="2:3" x14ac:dyDescent="0.25">
      <c r="B471" s="19"/>
      <c r="C471" s="20"/>
    </row>
    <row r="472" spans="2:3" x14ac:dyDescent="0.25">
      <c r="B472" s="19"/>
      <c r="C472" s="20"/>
    </row>
    <row r="473" spans="2:3" x14ac:dyDescent="0.25">
      <c r="B473" s="19"/>
      <c r="C473" s="20"/>
    </row>
    <row r="474" spans="2:3" x14ac:dyDescent="0.25">
      <c r="B474" s="19"/>
      <c r="C474" s="20"/>
    </row>
    <row r="475" spans="2:3" x14ac:dyDescent="0.25">
      <c r="B475" s="19"/>
      <c r="C475" s="20"/>
    </row>
    <row r="476" spans="2:3" x14ac:dyDescent="0.25">
      <c r="B476" s="19"/>
      <c r="C476" s="20"/>
    </row>
    <row r="477" spans="2:3" x14ac:dyDescent="0.25">
      <c r="B477" s="19"/>
      <c r="C477" s="20"/>
    </row>
    <row r="478" spans="2:3" x14ac:dyDescent="0.25">
      <c r="B478" s="19"/>
      <c r="C478" s="20"/>
    </row>
    <row r="479" spans="2:3" x14ac:dyDescent="0.25">
      <c r="B479" s="19"/>
      <c r="C479" s="20"/>
    </row>
    <row r="480" spans="2:3" x14ac:dyDescent="0.25">
      <c r="B480" s="19"/>
      <c r="C480" s="20"/>
    </row>
    <row r="481" spans="2:3" x14ac:dyDescent="0.25">
      <c r="B481" s="19"/>
      <c r="C481" s="20"/>
    </row>
    <row r="482" spans="2:3" x14ac:dyDescent="0.25">
      <c r="B482" s="19"/>
      <c r="C482" s="20"/>
    </row>
    <row r="483" spans="2:3" x14ac:dyDescent="0.25">
      <c r="B483" s="19"/>
      <c r="C483" s="20"/>
    </row>
    <row r="484" spans="2:3" x14ac:dyDescent="0.25">
      <c r="B484" s="19"/>
      <c r="C484" s="20"/>
    </row>
    <row r="485" spans="2:3" x14ac:dyDescent="0.25">
      <c r="B485" s="19"/>
      <c r="C485" s="20"/>
    </row>
    <row r="486" spans="2:3" x14ac:dyDescent="0.25">
      <c r="B486" s="19"/>
      <c r="C486" s="20"/>
    </row>
    <row r="487" spans="2:3" x14ac:dyDescent="0.25">
      <c r="B487" s="19"/>
      <c r="C487" s="20"/>
    </row>
    <row r="488" spans="2:3" x14ac:dyDescent="0.25">
      <c r="B488" s="19"/>
      <c r="C488" s="20"/>
    </row>
    <row r="489" spans="2:3" x14ac:dyDescent="0.25">
      <c r="B489" s="19"/>
      <c r="C489" s="20"/>
    </row>
    <row r="490" spans="2:3" x14ac:dyDescent="0.25">
      <c r="B490" s="19"/>
      <c r="C490" s="20"/>
    </row>
    <row r="491" spans="2:3" x14ac:dyDescent="0.25">
      <c r="B491" s="19"/>
      <c r="C491" s="20"/>
    </row>
    <row r="492" spans="2:3" x14ac:dyDescent="0.25">
      <c r="B492" s="19"/>
      <c r="C492" s="20"/>
    </row>
    <row r="493" spans="2:3" x14ac:dyDescent="0.25">
      <c r="B493" s="19"/>
      <c r="C493" s="20"/>
    </row>
    <row r="494" spans="2:3" x14ac:dyDescent="0.25">
      <c r="B494" s="19"/>
      <c r="C494" s="20"/>
    </row>
    <row r="495" spans="2:3" x14ac:dyDescent="0.25">
      <c r="B495" s="19"/>
      <c r="C495" s="20"/>
    </row>
    <row r="496" spans="2:3" x14ac:dyDescent="0.25">
      <c r="B496" s="19"/>
      <c r="C496" s="20"/>
    </row>
    <row r="497" spans="2:3" x14ac:dyDescent="0.25">
      <c r="B497" s="19"/>
      <c r="C497" s="20"/>
    </row>
    <row r="498" spans="2:3" x14ac:dyDescent="0.25">
      <c r="B498" s="19"/>
      <c r="C498" s="20"/>
    </row>
    <row r="499" spans="2:3" x14ac:dyDescent="0.25">
      <c r="B499" s="19"/>
      <c r="C499" s="20"/>
    </row>
    <row r="500" spans="2:3" x14ac:dyDescent="0.25">
      <c r="B500" s="19"/>
      <c r="C500" s="20"/>
    </row>
    <row r="501" spans="2:3" x14ac:dyDescent="0.25">
      <c r="B501" s="19"/>
      <c r="C501" s="20"/>
    </row>
    <row r="502" spans="2:3" x14ac:dyDescent="0.25">
      <c r="B502" s="19"/>
      <c r="C502" s="20"/>
    </row>
    <row r="503" spans="2:3" x14ac:dyDescent="0.25">
      <c r="B503" s="19"/>
      <c r="C503" s="20"/>
    </row>
    <row r="504" spans="2:3" x14ac:dyDescent="0.25">
      <c r="B504" s="19"/>
      <c r="C504" s="20"/>
    </row>
    <row r="505" spans="2:3" x14ac:dyDescent="0.25">
      <c r="B505" s="19"/>
      <c r="C505" s="20"/>
    </row>
    <row r="506" spans="2:3" x14ac:dyDescent="0.25">
      <c r="B506" s="19"/>
      <c r="C506" s="20"/>
    </row>
    <row r="507" spans="2:3" x14ac:dyDescent="0.25">
      <c r="B507" s="19"/>
      <c r="C507" s="20"/>
    </row>
    <row r="508" spans="2:3" x14ac:dyDescent="0.25">
      <c r="B508" s="19"/>
      <c r="C508" s="20"/>
    </row>
    <row r="509" spans="2:3" x14ac:dyDescent="0.25">
      <c r="B509" s="19"/>
      <c r="C509" s="20"/>
    </row>
    <row r="510" spans="2:3" x14ac:dyDescent="0.25">
      <c r="B510" s="19"/>
      <c r="C510" s="20"/>
    </row>
    <row r="511" spans="2:3" x14ac:dyDescent="0.25">
      <c r="B511" s="19"/>
      <c r="C511" s="20"/>
    </row>
    <row r="512" spans="2:3" x14ac:dyDescent="0.25">
      <c r="B512" s="19"/>
      <c r="C512" s="20"/>
    </row>
    <row r="513" spans="2:3" x14ac:dyDescent="0.25">
      <c r="B513" s="19"/>
      <c r="C513" s="20"/>
    </row>
    <row r="514" spans="2:3" x14ac:dyDescent="0.25">
      <c r="B514" s="19"/>
      <c r="C514" s="20"/>
    </row>
    <row r="515" spans="2:3" x14ac:dyDescent="0.25">
      <c r="B515" s="19"/>
      <c r="C515" s="20"/>
    </row>
    <row r="516" spans="2:3" x14ac:dyDescent="0.25">
      <c r="B516" s="19"/>
      <c r="C516" s="20"/>
    </row>
    <row r="517" spans="2:3" x14ac:dyDescent="0.25">
      <c r="B517" s="19"/>
      <c r="C517" s="20"/>
    </row>
    <row r="518" spans="2:3" x14ac:dyDescent="0.25">
      <c r="B518" s="19"/>
      <c r="C518" s="20"/>
    </row>
    <row r="519" spans="2:3" x14ac:dyDescent="0.25">
      <c r="B519" s="19"/>
      <c r="C519" s="20"/>
    </row>
    <row r="520" spans="2:3" x14ac:dyDescent="0.25">
      <c r="B520" s="19"/>
      <c r="C520" s="20"/>
    </row>
    <row r="521" spans="2:3" x14ac:dyDescent="0.25">
      <c r="B521" s="19"/>
      <c r="C521" s="20"/>
    </row>
    <row r="522" spans="2:3" x14ac:dyDescent="0.25">
      <c r="B522" s="19"/>
      <c r="C522" s="20"/>
    </row>
    <row r="523" spans="2:3" x14ac:dyDescent="0.25">
      <c r="B523" s="19"/>
      <c r="C523" s="20"/>
    </row>
    <row r="524" spans="2:3" x14ac:dyDescent="0.25">
      <c r="B524" s="19"/>
      <c r="C524" s="20"/>
    </row>
    <row r="525" spans="2:3" x14ac:dyDescent="0.25">
      <c r="B525" s="19"/>
      <c r="C525" s="20"/>
    </row>
    <row r="526" spans="2:3" x14ac:dyDescent="0.25">
      <c r="B526" s="19"/>
      <c r="C526" s="20"/>
    </row>
    <row r="527" spans="2:3" x14ac:dyDescent="0.25">
      <c r="B527" s="19"/>
      <c r="C527" s="20"/>
    </row>
    <row r="528" spans="2:3" x14ac:dyDescent="0.25">
      <c r="B528" s="19"/>
      <c r="C528" s="20"/>
    </row>
    <row r="529" spans="2:3" x14ac:dyDescent="0.25">
      <c r="B529" s="19"/>
      <c r="C529" s="20"/>
    </row>
    <row r="530" spans="2:3" x14ac:dyDescent="0.25">
      <c r="B530" s="19"/>
      <c r="C530" s="20"/>
    </row>
    <row r="531" spans="2:3" x14ac:dyDescent="0.25">
      <c r="B531" s="19"/>
      <c r="C531" s="20"/>
    </row>
    <row r="532" spans="2:3" x14ac:dyDescent="0.25">
      <c r="B532" s="19"/>
      <c r="C532" s="20"/>
    </row>
    <row r="533" spans="2:3" x14ac:dyDescent="0.25">
      <c r="B533" s="19"/>
      <c r="C533" s="20"/>
    </row>
    <row r="534" spans="2:3" x14ac:dyDescent="0.25">
      <c r="B534" s="19"/>
      <c r="C534" s="20"/>
    </row>
    <row r="535" spans="2:3" x14ac:dyDescent="0.25">
      <c r="B535" s="19"/>
      <c r="C535" s="20"/>
    </row>
    <row r="536" spans="2:3" x14ac:dyDescent="0.25">
      <c r="B536" s="19"/>
      <c r="C536" s="20"/>
    </row>
    <row r="537" spans="2:3" x14ac:dyDescent="0.25">
      <c r="B537" s="19"/>
      <c r="C537" s="20"/>
    </row>
    <row r="538" spans="2:3" x14ac:dyDescent="0.25">
      <c r="B538" s="19"/>
      <c r="C538" s="20"/>
    </row>
    <row r="539" spans="2:3" x14ac:dyDescent="0.25">
      <c r="B539" s="19"/>
      <c r="C539" s="20"/>
    </row>
    <row r="540" spans="2:3" x14ac:dyDescent="0.25">
      <c r="B540" s="19"/>
      <c r="C540" s="20"/>
    </row>
    <row r="541" spans="2:3" x14ac:dyDescent="0.25">
      <c r="B541" s="19"/>
      <c r="C541" s="20"/>
    </row>
    <row r="542" spans="2:3" x14ac:dyDescent="0.25">
      <c r="B542" s="19"/>
      <c r="C542" s="20"/>
    </row>
    <row r="543" spans="2:3" x14ac:dyDescent="0.25">
      <c r="B543" s="19"/>
      <c r="C543" s="20"/>
    </row>
    <row r="544" spans="2:3" x14ac:dyDescent="0.25">
      <c r="B544" s="19"/>
      <c r="C544" s="20"/>
    </row>
    <row r="545" spans="2:3" x14ac:dyDescent="0.25">
      <c r="B545" s="19"/>
      <c r="C545" s="20"/>
    </row>
    <row r="546" spans="2:3" x14ac:dyDescent="0.25">
      <c r="B546" s="19"/>
      <c r="C546" s="20"/>
    </row>
    <row r="547" spans="2:3" x14ac:dyDescent="0.25">
      <c r="B547" s="19"/>
      <c r="C547" s="20"/>
    </row>
    <row r="548" spans="2:3" x14ac:dyDescent="0.25">
      <c r="B548" s="19"/>
      <c r="C548" s="20"/>
    </row>
    <row r="549" spans="2:3" x14ac:dyDescent="0.25">
      <c r="B549" s="19"/>
      <c r="C549" s="20"/>
    </row>
    <row r="550" spans="2:3" x14ac:dyDescent="0.25">
      <c r="B550" s="19"/>
      <c r="C550" s="20"/>
    </row>
    <row r="551" spans="2:3" x14ac:dyDescent="0.25">
      <c r="B551" s="19"/>
      <c r="C551" s="20"/>
    </row>
    <row r="552" spans="2:3" x14ac:dyDescent="0.25">
      <c r="B552" s="19"/>
      <c r="C552" s="20"/>
    </row>
    <row r="553" spans="2:3" x14ac:dyDescent="0.25">
      <c r="B553" s="19"/>
      <c r="C553" s="20"/>
    </row>
    <row r="554" spans="2:3" x14ac:dyDescent="0.25">
      <c r="B554" s="19"/>
      <c r="C554" s="20"/>
    </row>
    <row r="555" spans="2:3" x14ac:dyDescent="0.25">
      <c r="B555" s="19"/>
      <c r="C555" s="20"/>
    </row>
    <row r="556" spans="2:3" x14ac:dyDescent="0.25">
      <c r="B556" s="19"/>
      <c r="C556" s="20"/>
    </row>
    <row r="557" spans="2:3" x14ac:dyDescent="0.25">
      <c r="B557" s="19"/>
      <c r="C557" s="20"/>
    </row>
    <row r="558" spans="2:3" x14ac:dyDescent="0.25">
      <c r="B558" s="19"/>
      <c r="C558" s="20"/>
    </row>
    <row r="559" spans="2:3" x14ac:dyDescent="0.25">
      <c r="B559" s="19"/>
      <c r="C559" s="20"/>
    </row>
    <row r="560" spans="2:3" x14ac:dyDescent="0.25">
      <c r="B560" s="19"/>
      <c r="C560" s="20"/>
    </row>
    <row r="561" spans="2:3" x14ac:dyDescent="0.25">
      <c r="B561" s="19"/>
      <c r="C561" s="20"/>
    </row>
    <row r="562" spans="2:3" x14ac:dyDescent="0.25">
      <c r="B562" s="19"/>
      <c r="C562" s="20"/>
    </row>
    <row r="563" spans="2:3" x14ac:dyDescent="0.25">
      <c r="B563" s="19"/>
      <c r="C563" s="20"/>
    </row>
    <row r="564" spans="2:3" x14ac:dyDescent="0.25">
      <c r="B564" s="19"/>
      <c r="C564" s="20"/>
    </row>
    <row r="565" spans="2:3" x14ac:dyDescent="0.25">
      <c r="B565" s="19"/>
      <c r="C565" s="20"/>
    </row>
    <row r="566" spans="2:3" x14ac:dyDescent="0.25">
      <c r="B566" s="19"/>
      <c r="C566" s="20"/>
    </row>
    <row r="567" spans="2:3" x14ac:dyDescent="0.25">
      <c r="B567" s="19"/>
      <c r="C567" s="20"/>
    </row>
    <row r="568" spans="2:3" x14ac:dyDescent="0.25">
      <c r="B568" s="19"/>
      <c r="C568" s="20"/>
    </row>
    <row r="569" spans="2:3" x14ac:dyDescent="0.25">
      <c r="B569" s="19"/>
      <c r="C569" s="20"/>
    </row>
    <row r="570" spans="2:3" x14ac:dyDescent="0.25">
      <c r="B570" s="19"/>
      <c r="C570" s="20"/>
    </row>
    <row r="571" spans="2:3" x14ac:dyDescent="0.25">
      <c r="B571" s="19"/>
      <c r="C571" s="20"/>
    </row>
    <row r="572" spans="2:3" x14ac:dyDescent="0.25">
      <c r="B572" s="19"/>
      <c r="C572" s="20"/>
    </row>
    <row r="573" spans="2:3" x14ac:dyDescent="0.25">
      <c r="B573" s="19"/>
      <c r="C573" s="20"/>
    </row>
    <row r="574" spans="2:3" x14ac:dyDescent="0.25">
      <c r="B574" s="19"/>
      <c r="C574" s="20"/>
    </row>
    <row r="575" spans="2:3" x14ac:dyDescent="0.25">
      <c r="B575" s="19"/>
      <c r="C575" s="20"/>
    </row>
    <row r="576" spans="2:3" x14ac:dyDescent="0.25">
      <c r="B576" s="19"/>
      <c r="C576" s="20"/>
    </row>
    <row r="577" spans="2:3" x14ac:dyDescent="0.25">
      <c r="B577" s="19"/>
      <c r="C577" s="20"/>
    </row>
    <row r="578" spans="2:3" x14ac:dyDescent="0.25">
      <c r="B578" s="19"/>
      <c r="C578" s="20"/>
    </row>
    <row r="579" spans="2:3" x14ac:dyDescent="0.25">
      <c r="B579" s="19"/>
      <c r="C579" s="20"/>
    </row>
    <row r="580" spans="2:3" x14ac:dyDescent="0.25">
      <c r="B580" s="19"/>
      <c r="C580" s="20"/>
    </row>
    <row r="581" spans="2:3" x14ac:dyDescent="0.25">
      <c r="B581" s="19"/>
      <c r="C581" s="20"/>
    </row>
    <row r="582" spans="2:3" x14ac:dyDescent="0.25">
      <c r="B582" s="19"/>
      <c r="C582" s="20"/>
    </row>
    <row r="583" spans="2:3" x14ac:dyDescent="0.25">
      <c r="B583" s="19"/>
      <c r="C583" s="20"/>
    </row>
    <row r="584" spans="2:3" x14ac:dyDescent="0.25">
      <c r="B584" s="19"/>
      <c r="C584" s="20"/>
    </row>
    <row r="585" spans="2:3" x14ac:dyDescent="0.25">
      <c r="B585" s="19"/>
      <c r="C585" s="20"/>
    </row>
    <row r="586" spans="2:3" x14ac:dyDescent="0.25">
      <c r="B586" s="19"/>
      <c r="C586" s="20"/>
    </row>
    <row r="587" spans="2:3" x14ac:dyDescent="0.25">
      <c r="B587" s="19"/>
      <c r="C587" s="20"/>
    </row>
    <row r="588" spans="2:3" x14ac:dyDescent="0.25">
      <c r="B588" s="19"/>
      <c r="C588" s="20"/>
    </row>
    <row r="589" spans="2:3" x14ac:dyDescent="0.25">
      <c r="B589" s="19"/>
      <c r="C589" s="20"/>
    </row>
    <row r="590" spans="2:3" x14ac:dyDescent="0.25">
      <c r="B590" s="19"/>
      <c r="C590" s="20"/>
    </row>
    <row r="591" spans="2:3" x14ac:dyDescent="0.25">
      <c r="B591" s="19"/>
      <c r="C591" s="20"/>
    </row>
    <row r="592" spans="2:3" x14ac:dyDescent="0.25">
      <c r="B592" s="19"/>
      <c r="C592" s="20"/>
    </row>
    <row r="593" spans="2:3" x14ac:dyDescent="0.25">
      <c r="B593" s="19"/>
      <c r="C593" s="20"/>
    </row>
    <row r="594" spans="2:3" x14ac:dyDescent="0.25">
      <c r="B594" s="19"/>
      <c r="C594" s="20"/>
    </row>
    <row r="595" spans="2:3" x14ac:dyDescent="0.25">
      <c r="B595" s="19"/>
      <c r="C595" s="20"/>
    </row>
    <row r="596" spans="2:3" x14ac:dyDescent="0.25">
      <c r="B596" s="19"/>
      <c r="C596" s="20"/>
    </row>
    <row r="597" spans="2:3" x14ac:dyDescent="0.25">
      <c r="B597" s="19"/>
      <c r="C597" s="20"/>
    </row>
    <row r="598" spans="2:3" x14ac:dyDescent="0.25">
      <c r="B598" s="19"/>
      <c r="C598" s="20"/>
    </row>
    <row r="599" spans="2:3" x14ac:dyDescent="0.25">
      <c r="B599" s="19"/>
      <c r="C599" s="20"/>
    </row>
    <row r="600" spans="2:3" x14ac:dyDescent="0.25">
      <c r="B600" s="19"/>
      <c r="C600" s="20"/>
    </row>
    <row r="601" spans="2:3" x14ac:dyDescent="0.25">
      <c r="B601" s="19"/>
      <c r="C601" s="20"/>
    </row>
    <row r="602" spans="2:3" x14ac:dyDescent="0.25">
      <c r="B602" s="19"/>
      <c r="C602" s="20"/>
    </row>
    <row r="603" spans="2:3" x14ac:dyDescent="0.25">
      <c r="B603" s="19"/>
      <c r="C603" s="20"/>
    </row>
    <row r="604" spans="2:3" x14ac:dyDescent="0.25">
      <c r="B604" s="19"/>
      <c r="C604" s="20"/>
    </row>
    <row r="605" spans="2:3" x14ac:dyDescent="0.25">
      <c r="B605" s="19"/>
      <c r="C605" s="20"/>
    </row>
    <row r="606" spans="2:3" x14ac:dyDescent="0.25">
      <c r="B606" s="19"/>
      <c r="C606" s="20"/>
    </row>
    <row r="607" spans="2:3" x14ac:dyDescent="0.25">
      <c r="B607" s="19"/>
      <c r="C607" s="20"/>
    </row>
    <row r="608" spans="2:3" x14ac:dyDescent="0.25">
      <c r="B608" s="19"/>
      <c r="C608" s="20"/>
    </row>
    <row r="609" spans="2:3" x14ac:dyDescent="0.25">
      <c r="B609" s="19"/>
      <c r="C609" s="20"/>
    </row>
    <row r="610" spans="2:3" x14ac:dyDescent="0.25">
      <c r="B610" s="19"/>
      <c r="C610" s="20"/>
    </row>
    <row r="611" spans="2:3" x14ac:dyDescent="0.25">
      <c r="B611" s="19"/>
      <c r="C611" s="20"/>
    </row>
    <row r="612" spans="2:3" x14ac:dyDescent="0.25">
      <c r="B612" s="19"/>
      <c r="C612" s="20"/>
    </row>
    <row r="613" spans="2:3" x14ac:dyDescent="0.25">
      <c r="B613" s="19"/>
      <c r="C613" s="20"/>
    </row>
    <row r="614" spans="2:3" x14ac:dyDescent="0.25">
      <c r="B614" s="19"/>
      <c r="C614" s="20"/>
    </row>
    <row r="615" spans="2:3" x14ac:dyDescent="0.25">
      <c r="B615" s="19"/>
      <c r="C615" s="20"/>
    </row>
    <row r="616" spans="2:3" x14ac:dyDescent="0.25">
      <c r="B616" s="19"/>
      <c r="C616" s="20"/>
    </row>
    <row r="617" spans="2:3" x14ac:dyDescent="0.25">
      <c r="B617" s="19"/>
      <c r="C617" s="20"/>
    </row>
    <row r="618" spans="2:3" x14ac:dyDescent="0.25">
      <c r="B618" s="19"/>
      <c r="C618" s="20"/>
    </row>
    <row r="619" spans="2:3" x14ac:dyDescent="0.25">
      <c r="B619" s="19"/>
      <c r="C619" s="20"/>
    </row>
    <row r="620" spans="2:3" x14ac:dyDescent="0.25">
      <c r="B620" s="19"/>
      <c r="C620" s="20"/>
    </row>
    <row r="621" spans="2:3" x14ac:dyDescent="0.25">
      <c r="B621" s="19"/>
      <c r="C621" s="20"/>
    </row>
    <row r="622" spans="2:3" x14ac:dyDescent="0.25">
      <c r="B622" s="19"/>
      <c r="C622" s="20"/>
    </row>
    <row r="623" spans="2:3" x14ac:dyDescent="0.25">
      <c r="B623" s="19"/>
      <c r="C623" s="20"/>
    </row>
    <row r="624" spans="2:3" x14ac:dyDescent="0.25">
      <c r="B624" s="19"/>
      <c r="C624" s="20"/>
    </row>
    <row r="625" spans="2:3" x14ac:dyDescent="0.25">
      <c r="B625" s="19"/>
      <c r="C625" s="20"/>
    </row>
    <row r="626" spans="2:3" x14ac:dyDescent="0.25">
      <c r="B626" s="19"/>
      <c r="C626" s="20"/>
    </row>
    <row r="627" spans="2:3" x14ac:dyDescent="0.25">
      <c r="B627" s="19"/>
      <c r="C627" s="20"/>
    </row>
    <row r="628" spans="2:3" x14ac:dyDescent="0.25">
      <c r="B628" s="19"/>
      <c r="C628" s="20"/>
    </row>
    <row r="629" spans="2:3" x14ac:dyDescent="0.25">
      <c r="B629" s="19"/>
      <c r="C629" s="20"/>
    </row>
    <row r="630" spans="2:3" x14ac:dyDescent="0.25">
      <c r="B630" s="19"/>
      <c r="C630" s="20"/>
    </row>
    <row r="631" spans="2:3" x14ac:dyDescent="0.25">
      <c r="B631" s="19"/>
      <c r="C631" s="20"/>
    </row>
    <row r="632" spans="2:3" x14ac:dyDescent="0.25">
      <c r="B632" s="19"/>
      <c r="C632" s="20"/>
    </row>
    <row r="633" spans="2:3" x14ac:dyDescent="0.25">
      <c r="B633" s="19"/>
      <c r="C633" s="20"/>
    </row>
    <row r="634" spans="2:3" x14ac:dyDescent="0.25">
      <c r="B634" s="19"/>
      <c r="C634" s="20"/>
    </row>
    <row r="635" spans="2:3" x14ac:dyDescent="0.25">
      <c r="B635" s="19"/>
      <c r="C635" s="20"/>
    </row>
    <row r="636" spans="2:3" x14ac:dyDescent="0.25">
      <c r="B636" s="19"/>
      <c r="C636" s="20"/>
    </row>
    <row r="637" spans="2:3" x14ac:dyDescent="0.25">
      <c r="B637" s="19"/>
      <c r="C637" s="20"/>
    </row>
    <row r="638" spans="2:3" x14ac:dyDescent="0.25">
      <c r="B638" s="19"/>
      <c r="C638" s="20"/>
    </row>
    <row r="639" spans="2:3" x14ac:dyDescent="0.25">
      <c r="B639" s="19"/>
      <c r="C639" s="20"/>
    </row>
    <row r="640" spans="2:3" x14ac:dyDescent="0.25">
      <c r="B640" s="19"/>
      <c r="C640" s="20"/>
    </row>
    <row r="641" spans="2:3" x14ac:dyDescent="0.25">
      <c r="B641" s="19"/>
      <c r="C641" s="20"/>
    </row>
    <row r="642" spans="2:3" x14ac:dyDescent="0.25">
      <c r="B642" s="19"/>
      <c r="C642" s="20"/>
    </row>
    <row r="643" spans="2:3" x14ac:dyDescent="0.25">
      <c r="B643" s="19"/>
      <c r="C643" s="20"/>
    </row>
    <row r="644" spans="2:3" x14ac:dyDescent="0.25">
      <c r="B644" s="19"/>
      <c r="C644" s="20"/>
    </row>
    <row r="645" spans="2:3" x14ac:dyDescent="0.25">
      <c r="B645" s="19"/>
      <c r="C645" s="20"/>
    </row>
    <row r="646" spans="2:3" x14ac:dyDescent="0.25">
      <c r="B646" s="19"/>
      <c r="C646" s="20"/>
    </row>
    <row r="647" spans="2:3" x14ac:dyDescent="0.25">
      <c r="B647" s="19"/>
      <c r="C647" s="20"/>
    </row>
    <row r="648" spans="2:3" x14ac:dyDescent="0.25">
      <c r="B648" s="19"/>
      <c r="C648" s="20"/>
    </row>
    <row r="649" spans="2:3" x14ac:dyDescent="0.25">
      <c r="B649" s="19"/>
      <c r="C649" s="20"/>
    </row>
    <row r="650" spans="2:3" x14ac:dyDescent="0.25">
      <c r="B650" s="19"/>
      <c r="C650" s="20"/>
    </row>
    <row r="651" spans="2:3" x14ac:dyDescent="0.25">
      <c r="B651" s="19"/>
      <c r="C651" s="20"/>
    </row>
    <row r="652" spans="2:3" x14ac:dyDescent="0.25">
      <c r="B652" s="19"/>
      <c r="C652" s="20"/>
    </row>
    <row r="653" spans="2:3" x14ac:dyDescent="0.25">
      <c r="B653" s="19"/>
      <c r="C653" s="20"/>
    </row>
    <row r="654" spans="2:3" x14ac:dyDescent="0.25">
      <c r="B654" s="19"/>
      <c r="C654" s="20"/>
    </row>
    <row r="655" spans="2:3" x14ac:dyDescent="0.25">
      <c r="B655" s="19"/>
      <c r="C655" s="20"/>
    </row>
    <row r="656" spans="2:3" x14ac:dyDescent="0.25">
      <c r="B656" s="19"/>
      <c r="C656" s="20"/>
    </row>
    <row r="657" spans="2:3" x14ac:dyDescent="0.25">
      <c r="B657" s="19"/>
      <c r="C657" s="20"/>
    </row>
    <row r="658" spans="2:3" x14ac:dyDescent="0.25">
      <c r="B658" s="19"/>
      <c r="C658" s="20"/>
    </row>
    <row r="659" spans="2:3" x14ac:dyDescent="0.25">
      <c r="B659" s="19"/>
      <c r="C659" s="20"/>
    </row>
    <row r="660" spans="2:3" x14ac:dyDescent="0.25">
      <c r="B660" s="19"/>
      <c r="C660" s="20"/>
    </row>
    <row r="661" spans="2:3" x14ac:dyDescent="0.25">
      <c r="B661" s="19"/>
      <c r="C661" s="20"/>
    </row>
    <row r="662" spans="2:3" x14ac:dyDescent="0.25">
      <c r="B662" s="19"/>
      <c r="C662" s="20"/>
    </row>
    <row r="663" spans="2:3" x14ac:dyDescent="0.25">
      <c r="B663" s="19"/>
      <c r="C663" s="20"/>
    </row>
    <row r="664" spans="2:3" x14ac:dyDescent="0.25">
      <c r="B664" s="19"/>
      <c r="C664" s="20"/>
    </row>
    <row r="665" spans="2:3" x14ac:dyDescent="0.25">
      <c r="B665" s="19"/>
      <c r="C665" s="20"/>
    </row>
    <row r="666" spans="2:3" x14ac:dyDescent="0.25">
      <c r="B666" s="19"/>
      <c r="C666" s="20"/>
    </row>
    <row r="667" spans="2:3" x14ac:dyDescent="0.25">
      <c r="B667" s="19"/>
      <c r="C667" s="20"/>
    </row>
    <row r="668" spans="2:3" x14ac:dyDescent="0.25">
      <c r="B668" s="19"/>
      <c r="C668" s="20"/>
    </row>
    <row r="669" spans="2:3" x14ac:dyDescent="0.25">
      <c r="B669" s="19"/>
      <c r="C669" s="20"/>
    </row>
    <row r="670" spans="2:3" x14ac:dyDescent="0.25">
      <c r="B670" s="19"/>
      <c r="C670" s="20"/>
    </row>
    <row r="671" spans="2:3" x14ac:dyDescent="0.25">
      <c r="B671" s="19"/>
      <c r="C671" s="20"/>
    </row>
    <row r="672" spans="2:3" x14ac:dyDescent="0.25">
      <c r="B672" s="19"/>
      <c r="C672" s="20"/>
    </row>
    <row r="673" spans="2:3" x14ac:dyDescent="0.25">
      <c r="B673" s="19"/>
      <c r="C673" s="20"/>
    </row>
    <row r="674" spans="2:3" x14ac:dyDescent="0.25">
      <c r="B674" s="19"/>
      <c r="C674" s="20"/>
    </row>
    <row r="675" spans="2:3" x14ac:dyDescent="0.25">
      <c r="B675" s="19"/>
      <c r="C675" s="20"/>
    </row>
    <row r="676" spans="2:3" x14ac:dyDescent="0.25">
      <c r="B676" s="19"/>
      <c r="C676" s="20"/>
    </row>
    <row r="677" spans="2:3" x14ac:dyDescent="0.25">
      <c r="B677" s="19"/>
      <c r="C677" s="20"/>
    </row>
    <row r="678" spans="2:3" x14ac:dyDescent="0.25">
      <c r="B678" s="19"/>
      <c r="C678" s="20"/>
    </row>
    <row r="679" spans="2:3" x14ac:dyDescent="0.25">
      <c r="B679" s="19"/>
      <c r="C679" s="20"/>
    </row>
    <row r="680" spans="2:3" x14ac:dyDescent="0.25">
      <c r="B680" s="19"/>
      <c r="C680" s="20"/>
    </row>
    <row r="681" spans="2:3" x14ac:dyDescent="0.25">
      <c r="B681" s="19"/>
      <c r="C681" s="20"/>
    </row>
    <row r="682" spans="2:3" x14ac:dyDescent="0.25">
      <c r="B682" s="19"/>
      <c r="C682" s="20"/>
    </row>
    <row r="683" spans="2:3" x14ac:dyDescent="0.25">
      <c r="B683" s="19"/>
      <c r="C683" s="20"/>
    </row>
    <row r="684" spans="2:3" x14ac:dyDescent="0.25">
      <c r="B684" s="19"/>
      <c r="C684" s="20"/>
    </row>
    <row r="685" spans="2:3" x14ac:dyDescent="0.25">
      <c r="B685" s="19"/>
      <c r="C685" s="20"/>
    </row>
    <row r="686" spans="2:3" x14ac:dyDescent="0.25">
      <c r="B686" s="19"/>
      <c r="C686" s="20"/>
    </row>
    <row r="687" spans="2:3" x14ac:dyDescent="0.25">
      <c r="B687" s="19"/>
      <c r="C687" s="20"/>
    </row>
    <row r="688" spans="2:3" x14ac:dyDescent="0.25">
      <c r="B688" s="19"/>
      <c r="C688" s="20"/>
    </row>
    <row r="689" spans="2:3" x14ac:dyDescent="0.25">
      <c r="B689" s="19"/>
      <c r="C689" s="20"/>
    </row>
    <row r="690" spans="2:3" x14ac:dyDescent="0.25">
      <c r="B690" s="19"/>
      <c r="C690" s="20"/>
    </row>
    <row r="691" spans="2:3" x14ac:dyDescent="0.25">
      <c r="B691" s="19"/>
      <c r="C691" s="20"/>
    </row>
    <row r="692" spans="2:3" x14ac:dyDescent="0.25">
      <c r="B692" s="19"/>
      <c r="C692" s="20"/>
    </row>
    <row r="693" spans="2:3" x14ac:dyDescent="0.25">
      <c r="B693" s="19"/>
      <c r="C693" s="20"/>
    </row>
    <row r="694" spans="2:3" x14ac:dyDescent="0.25">
      <c r="B694" s="19"/>
      <c r="C694" s="20"/>
    </row>
    <row r="695" spans="2:3" x14ac:dyDescent="0.25">
      <c r="B695" s="19"/>
      <c r="C695" s="20"/>
    </row>
    <row r="696" spans="2:3" x14ac:dyDescent="0.25">
      <c r="B696" s="19"/>
      <c r="C696" s="20"/>
    </row>
    <row r="697" spans="2:3" x14ac:dyDescent="0.25">
      <c r="B697" s="19"/>
      <c r="C697" s="20"/>
    </row>
    <row r="698" spans="2:3" x14ac:dyDescent="0.25">
      <c r="B698" s="19"/>
      <c r="C698" s="20"/>
    </row>
    <row r="699" spans="2:3" x14ac:dyDescent="0.25">
      <c r="B699" s="19"/>
      <c r="C699" s="20"/>
    </row>
    <row r="700" spans="2:3" x14ac:dyDescent="0.25">
      <c r="B700" s="19"/>
      <c r="C700" s="20"/>
    </row>
    <row r="701" spans="2:3" x14ac:dyDescent="0.25">
      <c r="B701" s="19"/>
      <c r="C701" s="20"/>
    </row>
    <row r="702" spans="2:3" x14ac:dyDescent="0.25">
      <c r="B702" s="19"/>
      <c r="C702" s="20"/>
    </row>
    <row r="703" spans="2:3" x14ac:dyDescent="0.25">
      <c r="B703" s="19"/>
      <c r="C703" s="20"/>
    </row>
    <row r="704" spans="2:3" x14ac:dyDescent="0.25">
      <c r="B704" s="19"/>
      <c r="C704" s="20"/>
    </row>
    <row r="705" spans="2:3" x14ac:dyDescent="0.25">
      <c r="B705" s="19"/>
      <c r="C705" s="20"/>
    </row>
    <row r="706" spans="2:3" x14ac:dyDescent="0.25">
      <c r="B706" s="19"/>
      <c r="C706" s="20"/>
    </row>
    <row r="707" spans="2:3" x14ac:dyDescent="0.25">
      <c r="B707" s="19"/>
      <c r="C707" s="20"/>
    </row>
    <row r="708" spans="2:3" x14ac:dyDescent="0.25">
      <c r="B708" s="19"/>
      <c r="C708" s="20"/>
    </row>
    <row r="709" spans="2:3" x14ac:dyDescent="0.25">
      <c r="B709" s="19"/>
      <c r="C709" s="20"/>
    </row>
    <row r="710" spans="2:3" x14ac:dyDescent="0.25">
      <c r="B710" s="19"/>
      <c r="C710" s="20"/>
    </row>
    <row r="711" spans="2:3" x14ac:dyDescent="0.25">
      <c r="B711" s="19"/>
      <c r="C711" s="20"/>
    </row>
    <row r="712" spans="2:3" x14ac:dyDescent="0.25">
      <c r="B712" s="19"/>
      <c r="C712" s="20"/>
    </row>
    <row r="713" spans="2:3" x14ac:dyDescent="0.25">
      <c r="B713" s="19"/>
      <c r="C713" s="20"/>
    </row>
    <row r="714" spans="2:3" x14ac:dyDescent="0.25">
      <c r="B714" s="19"/>
      <c r="C714" s="20"/>
    </row>
    <row r="715" spans="2:3" x14ac:dyDescent="0.25">
      <c r="B715" s="19"/>
      <c r="C715" s="20"/>
    </row>
    <row r="716" spans="2:3" x14ac:dyDescent="0.25">
      <c r="B716" s="19"/>
      <c r="C716" s="20"/>
    </row>
    <row r="717" spans="2:3" x14ac:dyDescent="0.25">
      <c r="B717" s="19"/>
      <c r="C717" s="20"/>
    </row>
    <row r="718" spans="2:3" x14ac:dyDescent="0.25">
      <c r="B718" s="19"/>
      <c r="C718" s="20"/>
    </row>
    <row r="719" spans="2:3" x14ac:dyDescent="0.25">
      <c r="B719" s="19"/>
      <c r="C719" s="20"/>
    </row>
    <row r="720" spans="2:3" x14ac:dyDescent="0.25">
      <c r="B720" s="19"/>
      <c r="C720" s="20"/>
    </row>
    <row r="721" spans="2:3" x14ac:dyDescent="0.25">
      <c r="B721" s="19"/>
      <c r="C721" s="20"/>
    </row>
    <row r="722" spans="2:3" x14ac:dyDescent="0.25">
      <c r="B722" s="19"/>
      <c r="C722" s="20"/>
    </row>
    <row r="723" spans="2:3" x14ac:dyDescent="0.25">
      <c r="B723" s="19"/>
      <c r="C723" s="20"/>
    </row>
    <row r="724" spans="2:3" x14ac:dyDescent="0.25">
      <c r="B724" s="19"/>
      <c r="C724" s="20"/>
    </row>
    <row r="725" spans="2:3" x14ac:dyDescent="0.25">
      <c r="B725" s="19"/>
      <c r="C725" s="20"/>
    </row>
    <row r="726" spans="2:3" x14ac:dyDescent="0.25">
      <c r="B726" s="19"/>
      <c r="C726" s="20"/>
    </row>
    <row r="727" spans="2:3" x14ac:dyDescent="0.25">
      <c r="B727" s="19"/>
      <c r="C727" s="20"/>
    </row>
    <row r="728" spans="2:3" x14ac:dyDescent="0.25">
      <c r="B728" s="19"/>
      <c r="C728" s="20"/>
    </row>
    <row r="729" spans="2:3" x14ac:dyDescent="0.25">
      <c r="B729" s="19"/>
      <c r="C729" s="20"/>
    </row>
    <row r="730" spans="2:3" x14ac:dyDescent="0.25">
      <c r="B730" s="19"/>
      <c r="C730" s="20"/>
    </row>
    <row r="731" spans="2:3" x14ac:dyDescent="0.25">
      <c r="B731" s="19"/>
      <c r="C731" s="20"/>
    </row>
    <row r="732" spans="2:3" x14ac:dyDescent="0.25">
      <c r="B732" s="19"/>
      <c r="C732" s="20"/>
    </row>
    <row r="733" spans="2:3" x14ac:dyDescent="0.25">
      <c r="B733" s="19"/>
      <c r="C733" s="20"/>
    </row>
    <row r="734" spans="2:3" x14ac:dyDescent="0.25">
      <c r="B734" s="19"/>
      <c r="C734" s="20"/>
    </row>
    <row r="735" spans="2:3" x14ac:dyDescent="0.25">
      <c r="B735" s="19"/>
      <c r="C735" s="20"/>
    </row>
    <row r="736" spans="2:3" x14ac:dyDescent="0.25">
      <c r="B736" s="19"/>
      <c r="C736" s="20"/>
    </row>
    <row r="737" spans="2:3" x14ac:dyDescent="0.25">
      <c r="B737" s="19"/>
      <c r="C737" s="20"/>
    </row>
    <row r="738" spans="2:3" x14ac:dyDescent="0.25">
      <c r="B738" s="19"/>
      <c r="C738" s="20"/>
    </row>
    <row r="739" spans="2:3" x14ac:dyDescent="0.25">
      <c r="B739" s="19"/>
      <c r="C739" s="20"/>
    </row>
    <row r="740" spans="2:3" x14ac:dyDescent="0.25">
      <c r="B740" s="19"/>
      <c r="C740" s="20"/>
    </row>
    <row r="741" spans="2:3" x14ac:dyDescent="0.25">
      <c r="B741" s="19"/>
      <c r="C741" s="20"/>
    </row>
    <row r="742" spans="2:3" x14ac:dyDescent="0.25">
      <c r="B742" s="19"/>
      <c r="C742" s="20"/>
    </row>
    <row r="743" spans="2:3" x14ac:dyDescent="0.25">
      <c r="B743" s="19"/>
      <c r="C743" s="20"/>
    </row>
    <row r="744" spans="2:3" x14ac:dyDescent="0.25">
      <c r="B744" s="19"/>
      <c r="C744" s="20"/>
    </row>
    <row r="745" spans="2:3" x14ac:dyDescent="0.25">
      <c r="B745" s="19"/>
      <c r="C745" s="20"/>
    </row>
    <row r="746" spans="2:3" x14ac:dyDescent="0.25">
      <c r="B746" s="19"/>
      <c r="C746" s="20"/>
    </row>
    <row r="747" spans="2:3" x14ac:dyDescent="0.25">
      <c r="B747" s="19"/>
      <c r="C747" s="20"/>
    </row>
    <row r="748" spans="2:3" x14ac:dyDescent="0.25">
      <c r="B748" s="19"/>
      <c r="C748" s="20"/>
    </row>
    <row r="749" spans="2:3" x14ac:dyDescent="0.25">
      <c r="B749" s="19"/>
      <c r="C749" s="20"/>
    </row>
    <row r="750" spans="2:3" x14ac:dyDescent="0.25">
      <c r="B750" s="19"/>
      <c r="C750" s="20"/>
    </row>
    <row r="751" spans="2:3" x14ac:dyDescent="0.25">
      <c r="B751" s="19"/>
      <c r="C751" s="20"/>
    </row>
    <row r="752" spans="2:3" x14ac:dyDescent="0.25">
      <c r="B752" s="19"/>
      <c r="C752" s="20"/>
    </row>
    <row r="753" spans="2:3" x14ac:dyDescent="0.25">
      <c r="B753" s="19"/>
      <c r="C753" s="20"/>
    </row>
    <row r="754" spans="2:3" x14ac:dyDescent="0.25">
      <c r="B754" s="19"/>
      <c r="C754" s="20"/>
    </row>
    <row r="755" spans="2:3" x14ac:dyDescent="0.25">
      <c r="B755" s="19"/>
      <c r="C755" s="20"/>
    </row>
    <row r="756" spans="2:3" x14ac:dyDescent="0.25">
      <c r="B756" s="19"/>
      <c r="C756" s="20"/>
    </row>
    <row r="757" spans="2:3" x14ac:dyDescent="0.25">
      <c r="B757" s="19"/>
      <c r="C757" s="20"/>
    </row>
    <row r="758" spans="2:3" x14ac:dyDescent="0.25">
      <c r="B758" s="19"/>
      <c r="C758" s="20"/>
    </row>
    <row r="759" spans="2:3" x14ac:dyDescent="0.25">
      <c r="B759" s="19"/>
      <c r="C759" s="20"/>
    </row>
    <row r="760" spans="2:3" x14ac:dyDescent="0.25">
      <c r="B760" s="19"/>
      <c r="C760" s="20"/>
    </row>
    <row r="761" spans="2:3" x14ac:dyDescent="0.25">
      <c r="B761" s="19"/>
      <c r="C761" s="20"/>
    </row>
    <row r="762" spans="2:3" x14ac:dyDescent="0.25">
      <c r="B762" s="19"/>
      <c r="C762" s="20"/>
    </row>
    <row r="763" spans="2:3" x14ac:dyDescent="0.25">
      <c r="B763" s="19"/>
      <c r="C763" s="20"/>
    </row>
    <row r="764" spans="2:3" x14ac:dyDescent="0.25">
      <c r="B764" s="19"/>
      <c r="C764" s="20"/>
    </row>
    <row r="765" spans="2:3" x14ac:dyDescent="0.25">
      <c r="B765" s="19"/>
      <c r="C765" s="20"/>
    </row>
    <row r="766" spans="2:3" x14ac:dyDescent="0.25">
      <c r="B766" s="19"/>
      <c r="C766" s="20"/>
    </row>
    <row r="767" spans="2:3" x14ac:dyDescent="0.25">
      <c r="B767" s="19"/>
      <c r="C767" s="20"/>
    </row>
    <row r="768" spans="2:3" x14ac:dyDescent="0.25">
      <c r="B768" s="19"/>
      <c r="C768" s="20"/>
    </row>
    <row r="769" spans="2:3" x14ac:dyDescent="0.25">
      <c r="B769" s="19"/>
      <c r="C769" s="20"/>
    </row>
    <row r="770" spans="2:3" x14ac:dyDescent="0.25">
      <c r="B770" s="19"/>
      <c r="C770" s="20"/>
    </row>
    <row r="771" spans="2:3" x14ac:dyDescent="0.25">
      <c r="B771" s="19"/>
      <c r="C771" s="20"/>
    </row>
    <row r="772" spans="2:3" x14ac:dyDescent="0.25">
      <c r="B772" s="19"/>
      <c r="C772" s="20"/>
    </row>
    <row r="773" spans="2:3" x14ac:dyDescent="0.25">
      <c r="B773" s="19"/>
      <c r="C773" s="20"/>
    </row>
    <row r="774" spans="2:3" x14ac:dyDescent="0.25">
      <c r="B774" s="19"/>
      <c r="C774" s="20"/>
    </row>
    <row r="775" spans="2:3" x14ac:dyDescent="0.25">
      <c r="B775" s="19"/>
      <c r="C775" s="20"/>
    </row>
    <row r="776" spans="2:3" x14ac:dyDescent="0.25">
      <c r="B776" s="19"/>
      <c r="C776" s="20"/>
    </row>
    <row r="777" spans="2:3" x14ac:dyDescent="0.25">
      <c r="B777" s="19"/>
      <c r="C777" s="20"/>
    </row>
    <row r="778" spans="2:3" x14ac:dyDescent="0.25">
      <c r="B778" s="19"/>
      <c r="C778" s="20"/>
    </row>
    <row r="779" spans="2:3" x14ac:dyDescent="0.25">
      <c r="B779" s="19"/>
      <c r="C779" s="20"/>
    </row>
    <row r="780" spans="2:3" x14ac:dyDescent="0.25">
      <c r="B780" s="19"/>
      <c r="C780" s="20"/>
    </row>
    <row r="781" spans="2:3" x14ac:dyDescent="0.25">
      <c r="B781" s="19"/>
      <c r="C781" s="20"/>
    </row>
    <row r="782" spans="2:3" x14ac:dyDescent="0.25">
      <c r="B782" s="19"/>
      <c r="C782" s="20"/>
    </row>
    <row r="783" spans="2:3" x14ac:dyDescent="0.25">
      <c r="B783" s="19"/>
      <c r="C783" s="20"/>
    </row>
    <row r="784" spans="2:3" x14ac:dyDescent="0.25">
      <c r="B784" s="19"/>
      <c r="C784" s="20"/>
    </row>
    <row r="785" spans="2:3" x14ac:dyDescent="0.25">
      <c r="B785" s="19"/>
      <c r="C785" s="20"/>
    </row>
    <row r="786" spans="2:3" x14ac:dyDescent="0.25">
      <c r="B786" s="19"/>
      <c r="C786" s="20"/>
    </row>
    <row r="787" spans="2:3" x14ac:dyDescent="0.25">
      <c r="B787" s="19"/>
      <c r="C787" s="20"/>
    </row>
    <row r="788" spans="2:3" x14ac:dyDescent="0.25">
      <c r="B788" s="19"/>
      <c r="C788" s="20"/>
    </row>
    <row r="789" spans="2:3" x14ac:dyDescent="0.25">
      <c r="B789" s="19"/>
      <c r="C789" s="20"/>
    </row>
    <row r="790" spans="2:3" x14ac:dyDescent="0.25">
      <c r="B790" s="19"/>
      <c r="C790" s="20"/>
    </row>
    <row r="791" spans="2:3" x14ac:dyDescent="0.25">
      <c r="B791" s="19"/>
      <c r="C791" s="20"/>
    </row>
    <row r="792" spans="2:3" x14ac:dyDescent="0.25">
      <c r="B792" s="19"/>
      <c r="C792" s="20"/>
    </row>
    <row r="793" spans="2:3" x14ac:dyDescent="0.25">
      <c r="B793" s="19"/>
      <c r="C793" s="20"/>
    </row>
    <row r="794" spans="2:3" x14ac:dyDescent="0.25">
      <c r="B794" s="19"/>
      <c r="C794" s="20"/>
    </row>
    <row r="795" spans="2:3" x14ac:dyDescent="0.25">
      <c r="B795" s="19"/>
      <c r="C795" s="20"/>
    </row>
    <row r="796" spans="2:3" x14ac:dyDescent="0.25">
      <c r="B796" s="19"/>
      <c r="C796" s="20"/>
    </row>
    <row r="797" spans="2:3" x14ac:dyDescent="0.25">
      <c r="B797" s="19"/>
      <c r="C797" s="20"/>
    </row>
    <row r="798" spans="2:3" x14ac:dyDescent="0.25">
      <c r="B798" s="19"/>
      <c r="C798" s="20"/>
    </row>
    <row r="799" spans="2:3" x14ac:dyDescent="0.25">
      <c r="B799" s="19"/>
      <c r="C799" s="20"/>
    </row>
    <row r="800" spans="2:3" x14ac:dyDescent="0.25">
      <c r="B800" s="19"/>
      <c r="C800" s="20"/>
    </row>
    <row r="801" spans="2:3" x14ac:dyDescent="0.25">
      <c r="B801" s="19"/>
      <c r="C801" s="20"/>
    </row>
    <row r="802" spans="2:3" x14ac:dyDescent="0.25">
      <c r="B802" s="19"/>
      <c r="C802" s="20"/>
    </row>
    <row r="803" spans="2:3" x14ac:dyDescent="0.25">
      <c r="B803" s="19"/>
      <c r="C803" s="20"/>
    </row>
    <row r="804" spans="2:3" x14ac:dyDescent="0.25">
      <c r="B804" s="19"/>
      <c r="C804" s="20"/>
    </row>
    <row r="805" spans="2:3" x14ac:dyDescent="0.25">
      <c r="B805" s="19"/>
      <c r="C805" s="20"/>
    </row>
    <row r="806" spans="2:3" x14ac:dyDescent="0.25">
      <c r="B806" s="19"/>
      <c r="C806" s="20"/>
    </row>
    <row r="807" spans="2:3" x14ac:dyDescent="0.25">
      <c r="B807" s="19"/>
      <c r="C807" s="20"/>
    </row>
    <row r="808" spans="2:3" x14ac:dyDescent="0.25">
      <c r="B808" s="19"/>
      <c r="C808" s="20"/>
    </row>
    <row r="809" spans="2:3" x14ac:dyDescent="0.25">
      <c r="B809" s="19"/>
      <c r="C809" s="20"/>
    </row>
    <row r="810" spans="2:3" x14ac:dyDescent="0.25">
      <c r="B810" s="19"/>
      <c r="C810" s="20"/>
    </row>
    <row r="811" spans="2:3" x14ac:dyDescent="0.25">
      <c r="B811" s="19"/>
      <c r="C811" s="20"/>
    </row>
    <row r="812" spans="2:3" x14ac:dyDescent="0.25">
      <c r="B812" s="19"/>
      <c r="C812" s="20"/>
    </row>
    <row r="813" spans="2:3" x14ac:dyDescent="0.25">
      <c r="B813" s="19"/>
      <c r="C813" s="20"/>
    </row>
    <row r="814" spans="2:3" x14ac:dyDescent="0.25">
      <c r="B814" s="19"/>
      <c r="C814" s="20"/>
    </row>
    <row r="815" spans="2:3" x14ac:dyDescent="0.25">
      <c r="B815" s="19"/>
      <c r="C815" s="20"/>
    </row>
    <row r="816" spans="2:3" x14ac:dyDescent="0.25">
      <c r="B816" s="19"/>
      <c r="C816" s="20"/>
    </row>
    <row r="817" spans="2:3" x14ac:dyDescent="0.25">
      <c r="B817" s="19"/>
      <c r="C817" s="20"/>
    </row>
    <row r="818" spans="2:3" x14ac:dyDescent="0.25">
      <c r="B818" s="19"/>
      <c r="C818" s="20"/>
    </row>
    <row r="819" spans="2:3" x14ac:dyDescent="0.25">
      <c r="B819" s="19"/>
      <c r="C819" s="20"/>
    </row>
    <row r="820" spans="2:3" x14ac:dyDescent="0.25">
      <c r="B820" s="19"/>
      <c r="C820" s="20"/>
    </row>
    <row r="821" spans="2:3" x14ac:dyDescent="0.25">
      <c r="B821" s="19"/>
      <c r="C821" s="20"/>
    </row>
    <row r="822" spans="2:3" x14ac:dyDescent="0.25">
      <c r="B822" s="19"/>
      <c r="C822" s="20"/>
    </row>
    <row r="823" spans="2:3" x14ac:dyDescent="0.25">
      <c r="B823" s="19"/>
      <c r="C823" s="20"/>
    </row>
    <row r="824" spans="2:3" x14ac:dyDescent="0.25">
      <c r="B824" s="19"/>
      <c r="C824" s="20"/>
    </row>
    <row r="825" spans="2:3" x14ac:dyDescent="0.25">
      <c r="B825" s="19"/>
      <c r="C825" s="20"/>
    </row>
    <row r="826" spans="2:3" x14ac:dyDescent="0.25">
      <c r="B826" s="19"/>
      <c r="C826" s="20"/>
    </row>
    <row r="827" spans="2:3" x14ac:dyDescent="0.25">
      <c r="B827" s="19"/>
      <c r="C827" s="20"/>
    </row>
    <row r="828" spans="2:3" x14ac:dyDescent="0.25">
      <c r="B828" s="19"/>
      <c r="C828" s="20"/>
    </row>
    <row r="829" spans="2:3" x14ac:dyDescent="0.25">
      <c r="B829" s="19"/>
      <c r="C829" s="20"/>
    </row>
    <row r="830" spans="2:3" x14ac:dyDescent="0.25">
      <c r="B830" s="19"/>
      <c r="C830" s="20"/>
    </row>
    <row r="831" spans="2:3" x14ac:dyDescent="0.25">
      <c r="B831" s="19"/>
      <c r="C831" s="20"/>
    </row>
    <row r="832" spans="2:3" x14ac:dyDescent="0.25">
      <c r="B832" s="19"/>
      <c r="C832" s="20"/>
    </row>
    <row r="833" spans="2:3" x14ac:dyDescent="0.25">
      <c r="B833" s="19"/>
      <c r="C833" s="20"/>
    </row>
    <row r="834" spans="2:3" x14ac:dyDescent="0.25">
      <c r="B834" s="19"/>
      <c r="C834" s="20"/>
    </row>
    <row r="835" spans="2:3" x14ac:dyDescent="0.25">
      <c r="B835" s="19"/>
      <c r="C835" s="20"/>
    </row>
    <row r="836" spans="2:3" x14ac:dyDescent="0.25">
      <c r="B836" s="19"/>
      <c r="C836" s="20"/>
    </row>
    <row r="837" spans="2:3" x14ac:dyDescent="0.25">
      <c r="B837" s="19"/>
      <c r="C837" s="20"/>
    </row>
    <row r="838" spans="2:3" x14ac:dyDescent="0.25">
      <c r="B838" s="19"/>
      <c r="C838" s="20"/>
    </row>
    <row r="839" spans="2:3" x14ac:dyDescent="0.25">
      <c r="B839" s="19"/>
      <c r="C839" s="20"/>
    </row>
    <row r="840" spans="2:3" x14ac:dyDescent="0.25">
      <c r="B840" s="19"/>
      <c r="C840" s="20"/>
    </row>
    <row r="841" spans="2:3" x14ac:dyDescent="0.25">
      <c r="B841" s="19"/>
      <c r="C841" s="20"/>
    </row>
    <row r="842" spans="2:3" x14ac:dyDescent="0.25">
      <c r="B842" s="19"/>
      <c r="C842" s="20"/>
    </row>
    <row r="843" spans="2:3" x14ac:dyDescent="0.25">
      <c r="B843" s="19"/>
      <c r="C843" s="20"/>
    </row>
    <row r="844" spans="2:3" x14ac:dyDescent="0.25">
      <c r="B844" s="19"/>
      <c r="C844" s="20"/>
    </row>
    <row r="845" spans="2:3" x14ac:dyDescent="0.25">
      <c r="B845" s="19"/>
      <c r="C845" s="20"/>
    </row>
    <row r="846" spans="2:3" x14ac:dyDescent="0.25">
      <c r="B846" s="19"/>
      <c r="C846" s="20"/>
    </row>
    <row r="847" spans="2:3" x14ac:dyDescent="0.25">
      <c r="B847" s="19"/>
      <c r="C847" s="20"/>
    </row>
    <row r="848" spans="2:3" x14ac:dyDescent="0.25">
      <c r="B848" s="19"/>
      <c r="C848" s="20"/>
    </row>
    <row r="849" spans="2:3" x14ac:dyDescent="0.25">
      <c r="B849" s="19"/>
      <c r="C849" s="20"/>
    </row>
    <row r="850" spans="2:3" x14ac:dyDescent="0.25">
      <c r="B850" s="19"/>
      <c r="C850" s="20"/>
    </row>
    <row r="851" spans="2:3" x14ac:dyDescent="0.25">
      <c r="B851" s="19"/>
      <c r="C851" s="20"/>
    </row>
    <row r="852" spans="2:3" x14ac:dyDescent="0.25">
      <c r="B852" s="19"/>
      <c r="C852" s="20"/>
    </row>
    <row r="853" spans="2:3" x14ac:dyDescent="0.25">
      <c r="B853" s="19"/>
      <c r="C853" s="20"/>
    </row>
    <row r="854" spans="2:3" x14ac:dyDescent="0.25">
      <c r="B854" s="19"/>
      <c r="C854" s="20"/>
    </row>
    <row r="855" spans="2:3" x14ac:dyDescent="0.25">
      <c r="B855" s="19"/>
      <c r="C855" s="20"/>
    </row>
    <row r="856" spans="2:3" x14ac:dyDescent="0.25">
      <c r="B856" s="19"/>
      <c r="C856" s="20"/>
    </row>
    <row r="857" spans="2:3" x14ac:dyDescent="0.25">
      <c r="B857" s="19"/>
      <c r="C857" s="20"/>
    </row>
    <row r="858" spans="2:3" x14ac:dyDescent="0.25">
      <c r="B858" s="19"/>
      <c r="C858" s="20"/>
    </row>
    <row r="859" spans="2:3" x14ac:dyDescent="0.25">
      <c r="B859" s="19"/>
      <c r="C859" s="20"/>
    </row>
    <row r="860" spans="2:3" x14ac:dyDescent="0.25">
      <c r="B860" s="19"/>
      <c r="C860" s="20"/>
    </row>
    <row r="861" spans="2:3" x14ac:dyDescent="0.25">
      <c r="B861" s="19"/>
      <c r="C861" s="20"/>
    </row>
    <row r="862" spans="2:3" x14ac:dyDescent="0.25">
      <c r="B862" s="19"/>
      <c r="C862" s="20"/>
    </row>
    <row r="863" spans="2:3" x14ac:dyDescent="0.25">
      <c r="B863" s="19"/>
      <c r="C863" s="20"/>
    </row>
    <row r="864" spans="2:3" x14ac:dyDescent="0.25">
      <c r="B864" s="19"/>
      <c r="C864" s="20"/>
    </row>
    <row r="865" spans="2:3" x14ac:dyDescent="0.25">
      <c r="B865" s="19"/>
      <c r="C865" s="20"/>
    </row>
    <row r="866" spans="2:3" x14ac:dyDescent="0.25">
      <c r="B866" s="19"/>
      <c r="C866" s="20"/>
    </row>
    <row r="867" spans="2:3" x14ac:dyDescent="0.25">
      <c r="B867" s="19"/>
      <c r="C867" s="20"/>
    </row>
    <row r="868" spans="2:3" x14ac:dyDescent="0.25">
      <c r="B868" s="19"/>
      <c r="C868" s="20"/>
    </row>
    <row r="869" spans="2:3" x14ac:dyDescent="0.25">
      <c r="B869" s="19"/>
      <c r="C869" s="20"/>
    </row>
    <row r="870" spans="2:3" x14ac:dyDescent="0.25">
      <c r="B870" s="19"/>
      <c r="C870" s="20"/>
    </row>
    <row r="871" spans="2:3" x14ac:dyDescent="0.25">
      <c r="B871" s="19"/>
      <c r="C871" s="20"/>
    </row>
    <row r="872" spans="2:3" x14ac:dyDescent="0.25">
      <c r="B872" s="19"/>
      <c r="C872" s="20"/>
    </row>
    <row r="873" spans="2:3" x14ac:dyDescent="0.25">
      <c r="B873" s="19"/>
      <c r="C873" s="20"/>
    </row>
    <row r="874" spans="2:3" x14ac:dyDescent="0.25">
      <c r="B874" s="19"/>
      <c r="C874" s="20"/>
    </row>
    <row r="875" spans="2:3" x14ac:dyDescent="0.25">
      <c r="B875" s="19"/>
      <c r="C875" s="20"/>
    </row>
    <row r="876" spans="2:3" x14ac:dyDescent="0.25">
      <c r="B876" s="19"/>
      <c r="C876" s="20"/>
    </row>
    <row r="877" spans="2:3" x14ac:dyDescent="0.25">
      <c r="B877" s="19"/>
      <c r="C877" s="20"/>
    </row>
    <row r="878" spans="2:3" x14ac:dyDescent="0.25">
      <c r="B878" s="19"/>
      <c r="C878" s="20"/>
    </row>
    <row r="879" spans="2:3" x14ac:dyDescent="0.25">
      <c r="B879" s="19"/>
      <c r="C879" s="20"/>
    </row>
    <row r="880" spans="2:3" x14ac:dyDescent="0.25">
      <c r="B880" s="19"/>
      <c r="C880" s="20"/>
    </row>
    <row r="881" spans="2:3" x14ac:dyDescent="0.25">
      <c r="B881" s="19"/>
      <c r="C881" s="20"/>
    </row>
    <row r="882" spans="2:3" x14ac:dyDescent="0.25">
      <c r="B882" s="19"/>
      <c r="C882" s="20"/>
    </row>
    <row r="883" spans="2:3" x14ac:dyDescent="0.25">
      <c r="B883" s="19"/>
      <c r="C883" s="20"/>
    </row>
    <row r="884" spans="2:3" x14ac:dyDescent="0.25">
      <c r="B884" s="19"/>
      <c r="C884" s="20"/>
    </row>
    <row r="885" spans="2:3" x14ac:dyDescent="0.25">
      <c r="B885" s="19"/>
      <c r="C885" s="20"/>
    </row>
    <row r="886" spans="2:3" x14ac:dyDescent="0.25">
      <c r="B886" s="19"/>
      <c r="C886" s="20"/>
    </row>
    <row r="887" spans="2:3" x14ac:dyDescent="0.25">
      <c r="B887" s="19"/>
      <c r="C887" s="20"/>
    </row>
    <row r="888" spans="2:3" x14ac:dyDescent="0.25">
      <c r="B888" s="19"/>
      <c r="C888" s="20"/>
    </row>
    <row r="889" spans="2:3" x14ac:dyDescent="0.25">
      <c r="B889" s="19"/>
      <c r="C889" s="20"/>
    </row>
    <row r="890" spans="2:3" x14ac:dyDescent="0.25">
      <c r="B890" s="19"/>
      <c r="C890" s="20"/>
    </row>
    <row r="891" spans="2:3" x14ac:dyDescent="0.25">
      <c r="B891" s="19"/>
      <c r="C891" s="20"/>
    </row>
    <row r="892" spans="2:3" x14ac:dyDescent="0.25">
      <c r="B892" s="19"/>
      <c r="C892" s="20"/>
    </row>
    <row r="893" spans="2:3" x14ac:dyDescent="0.25">
      <c r="B893" s="19"/>
      <c r="C893" s="20"/>
    </row>
    <row r="894" spans="2:3" x14ac:dyDescent="0.25">
      <c r="B894" s="19"/>
      <c r="C894" s="20"/>
    </row>
    <row r="895" spans="2:3" x14ac:dyDescent="0.25">
      <c r="B895" s="19"/>
      <c r="C895" s="20"/>
    </row>
    <row r="896" spans="2:3" x14ac:dyDescent="0.25">
      <c r="B896" s="19"/>
      <c r="C896" s="20"/>
    </row>
    <row r="897" spans="2:3" x14ac:dyDescent="0.25">
      <c r="B897" s="19"/>
      <c r="C897" s="20"/>
    </row>
    <row r="898" spans="2:3" x14ac:dyDescent="0.25">
      <c r="B898" s="19"/>
      <c r="C898" s="20"/>
    </row>
    <row r="899" spans="2:3" x14ac:dyDescent="0.25">
      <c r="B899" s="19"/>
      <c r="C899" s="20"/>
    </row>
    <row r="900" spans="2:3" x14ac:dyDescent="0.25">
      <c r="B900" s="19"/>
      <c r="C900" s="20"/>
    </row>
    <row r="901" spans="2:3" x14ac:dyDescent="0.25">
      <c r="B901" s="19"/>
      <c r="C901" s="20"/>
    </row>
    <row r="902" spans="2:3" x14ac:dyDescent="0.25">
      <c r="B902" s="19"/>
      <c r="C902" s="20"/>
    </row>
    <row r="903" spans="2:3" x14ac:dyDescent="0.25">
      <c r="B903" s="19"/>
      <c r="C903" s="20"/>
    </row>
    <row r="904" spans="2:3" x14ac:dyDescent="0.25">
      <c r="B904" s="19"/>
      <c r="C904" s="20"/>
    </row>
    <row r="905" spans="2:3" x14ac:dyDescent="0.25">
      <c r="B905" s="19"/>
      <c r="C905" s="20"/>
    </row>
    <row r="906" spans="2:3" x14ac:dyDescent="0.25">
      <c r="B906" s="19"/>
      <c r="C906" s="20"/>
    </row>
    <row r="907" spans="2:3" x14ac:dyDescent="0.25">
      <c r="B907" s="19"/>
      <c r="C907" s="20"/>
    </row>
    <row r="908" spans="2:3" x14ac:dyDescent="0.25">
      <c r="B908" s="19"/>
      <c r="C908" s="20"/>
    </row>
    <row r="909" spans="2:3" x14ac:dyDescent="0.25">
      <c r="B909" s="19"/>
      <c r="C909" s="20"/>
    </row>
    <row r="910" spans="2:3" x14ac:dyDescent="0.25">
      <c r="B910" s="19"/>
      <c r="C910" s="20"/>
    </row>
    <row r="911" spans="2:3" x14ac:dyDescent="0.25">
      <c r="B911" s="19"/>
      <c r="C911" s="20"/>
    </row>
    <row r="912" spans="2:3" x14ac:dyDescent="0.25">
      <c r="B912" s="19"/>
      <c r="C912" s="20"/>
    </row>
    <row r="913" spans="2:3" x14ac:dyDescent="0.25">
      <c r="B913" s="19"/>
      <c r="C913" s="20"/>
    </row>
    <row r="914" spans="2:3" x14ac:dyDescent="0.25">
      <c r="B914" s="19"/>
      <c r="C914" s="20"/>
    </row>
    <row r="915" spans="2:3" x14ac:dyDescent="0.25">
      <c r="B915" s="19"/>
      <c r="C915" s="20"/>
    </row>
    <row r="916" spans="2:3" x14ac:dyDescent="0.25">
      <c r="B916" s="19"/>
      <c r="C916" s="20"/>
    </row>
    <row r="917" spans="2:3" x14ac:dyDescent="0.25">
      <c r="B917" s="19"/>
      <c r="C917" s="20"/>
    </row>
    <row r="918" spans="2:3" x14ac:dyDescent="0.25">
      <c r="B918" s="19"/>
      <c r="C918" s="20"/>
    </row>
    <row r="919" spans="2:3" x14ac:dyDescent="0.25">
      <c r="B919" s="19"/>
      <c r="C919" s="20"/>
    </row>
    <row r="920" spans="2:3" x14ac:dyDescent="0.25">
      <c r="B920" s="19"/>
      <c r="C920" s="20"/>
    </row>
    <row r="921" spans="2:3" x14ac:dyDescent="0.25">
      <c r="B921" s="19"/>
      <c r="C921" s="20"/>
    </row>
    <row r="922" spans="2:3" x14ac:dyDescent="0.25">
      <c r="B922" s="19"/>
      <c r="C922" s="20"/>
    </row>
    <row r="923" spans="2:3" x14ac:dyDescent="0.25">
      <c r="B923" s="19"/>
      <c r="C923" s="20"/>
    </row>
    <row r="924" spans="2:3" x14ac:dyDescent="0.25">
      <c r="B924" s="19"/>
      <c r="C924" s="20"/>
    </row>
    <row r="925" spans="2:3" x14ac:dyDescent="0.25">
      <c r="B925" s="19"/>
      <c r="C925" s="20"/>
    </row>
    <row r="926" spans="2:3" x14ac:dyDescent="0.25">
      <c r="B926" s="19"/>
      <c r="C926" s="20"/>
    </row>
    <row r="927" spans="2:3" x14ac:dyDescent="0.25">
      <c r="B927" s="19"/>
      <c r="C927" s="20"/>
    </row>
    <row r="928" spans="2:3" x14ac:dyDescent="0.25">
      <c r="B928" s="19"/>
      <c r="C928" s="20"/>
    </row>
    <row r="929" spans="2:3" x14ac:dyDescent="0.25">
      <c r="B929" s="19"/>
      <c r="C929" s="20"/>
    </row>
    <row r="930" spans="2:3" x14ac:dyDescent="0.25">
      <c r="B930" s="19"/>
      <c r="C930" s="20"/>
    </row>
    <row r="931" spans="2:3" x14ac:dyDescent="0.25">
      <c r="B931" s="19"/>
      <c r="C931" s="20"/>
    </row>
    <row r="932" spans="2:3" x14ac:dyDescent="0.25">
      <c r="B932" s="19"/>
      <c r="C932" s="20"/>
    </row>
    <row r="933" spans="2:3" x14ac:dyDescent="0.25">
      <c r="B933" s="19"/>
      <c r="C933" s="20"/>
    </row>
    <row r="934" spans="2:3" x14ac:dyDescent="0.25">
      <c r="B934" s="19"/>
      <c r="C934" s="20"/>
    </row>
    <row r="935" spans="2:3" x14ac:dyDescent="0.25">
      <c r="B935" s="19"/>
      <c r="C935" s="20"/>
    </row>
    <row r="936" spans="2:3" x14ac:dyDescent="0.25">
      <c r="B936" s="19"/>
      <c r="C936" s="20"/>
    </row>
    <row r="937" spans="2:3" x14ac:dyDescent="0.25">
      <c r="B937" s="19"/>
      <c r="C937" s="20"/>
    </row>
    <row r="938" spans="2:3" x14ac:dyDescent="0.25">
      <c r="B938" s="19"/>
      <c r="C938" s="20"/>
    </row>
    <row r="939" spans="2:3" x14ac:dyDescent="0.25">
      <c r="B939" s="19"/>
      <c r="C939" s="20"/>
    </row>
    <row r="940" spans="2:3" x14ac:dyDescent="0.25">
      <c r="B940" s="19"/>
      <c r="C940" s="20"/>
    </row>
    <row r="941" spans="2:3" x14ac:dyDescent="0.25">
      <c r="B941" s="19"/>
      <c r="C941" s="20"/>
    </row>
    <row r="942" spans="2:3" x14ac:dyDescent="0.25">
      <c r="B942" s="19"/>
      <c r="C942" s="20"/>
    </row>
    <row r="943" spans="2:3" x14ac:dyDescent="0.25">
      <c r="B943" s="19"/>
      <c r="C943" s="20"/>
    </row>
    <row r="944" spans="2:3" x14ac:dyDescent="0.25">
      <c r="B944" s="19"/>
      <c r="C944" s="20"/>
    </row>
    <row r="945" spans="2:3" x14ac:dyDescent="0.25">
      <c r="B945" s="19"/>
      <c r="C945" s="20"/>
    </row>
    <row r="946" spans="2:3" x14ac:dyDescent="0.25">
      <c r="B946" s="19"/>
      <c r="C946" s="20"/>
    </row>
    <row r="947" spans="2:3" x14ac:dyDescent="0.25">
      <c r="B947" s="19"/>
      <c r="C947" s="20"/>
    </row>
    <row r="948" spans="2:3" x14ac:dyDescent="0.25">
      <c r="B948" s="19"/>
      <c r="C948" s="20"/>
    </row>
    <row r="949" spans="2:3" x14ac:dyDescent="0.25">
      <c r="B949" s="19"/>
      <c r="C949" s="20"/>
    </row>
    <row r="950" spans="2:3" x14ac:dyDescent="0.25">
      <c r="B950" s="19"/>
      <c r="C950" s="20"/>
    </row>
    <row r="951" spans="2:3" x14ac:dyDescent="0.25">
      <c r="B951" s="19"/>
      <c r="C951" s="20"/>
    </row>
    <row r="952" spans="2:3" x14ac:dyDescent="0.25">
      <c r="B952" s="19"/>
      <c r="C952" s="20"/>
    </row>
    <row r="953" spans="2:3" x14ac:dyDescent="0.25">
      <c r="B953" s="19"/>
      <c r="C953" s="20"/>
    </row>
    <row r="954" spans="2:3" x14ac:dyDescent="0.25">
      <c r="B954" s="19"/>
      <c r="C954" s="20"/>
    </row>
    <row r="955" spans="2:3" x14ac:dyDescent="0.25">
      <c r="B955" s="19"/>
      <c r="C955" s="20"/>
    </row>
    <row r="956" spans="2:3" x14ac:dyDescent="0.25">
      <c r="B956" s="19"/>
      <c r="C956" s="20"/>
    </row>
    <row r="957" spans="2:3" x14ac:dyDescent="0.25">
      <c r="B957" s="19"/>
      <c r="C957" s="20"/>
    </row>
    <row r="958" spans="2:3" x14ac:dyDescent="0.25">
      <c r="B958" s="19"/>
      <c r="C958" s="20"/>
    </row>
    <row r="959" spans="2:3" x14ac:dyDescent="0.25">
      <c r="B959" s="19"/>
      <c r="C959" s="20"/>
    </row>
    <row r="960" spans="2:3" x14ac:dyDescent="0.25">
      <c r="B960" s="19"/>
      <c r="C960" s="20"/>
    </row>
    <row r="961" spans="2:3" x14ac:dyDescent="0.25">
      <c r="B961" s="19"/>
      <c r="C961" s="20"/>
    </row>
    <row r="962" spans="2:3" x14ac:dyDescent="0.25">
      <c r="B962" s="19"/>
      <c r="C962" s="20"/>
    </row>
    <row r="963" spans="2:3" x14ac:dyDescent="0.25">
      <c r="B963" s="19"/>
      <c r="C963" s="20"/>
    </row>
    <row r="964" spans="2:3" x14ac:dyDescent="0.25">
      <c r="B964" s="19"/>
      <c r="C964" s="20"/>
    </row>
    <row r="965" spans="2:3" x14ac:dyDescent="0.25">
      <c r="B965" s="19"/>
      <c r="C965" s="20"/>
    </row>
    <row r="966" spans="2:3" x14ac:dyDescent="0.25">
      <c r="B966" s="19"/>
      <c r="C966" s="20"/>
    </row>
    <row r="967" spans="2:3" x14ac:dyDescent="0.25">
      <c r="B967" s="19"/>
      <c r="C967" s="20"/>
    </row>
    <row r="968" spans="2:3" x14ac:dyDescent="0.25">
      <c r="B968" s="19"/>
      <c r="C968" s="20"/>
    </row>
    <row r="969" spans="2:3" x14ac:dyDescent="0.25">
      <c r="B969" s="19"/>
      <c r="C969" s="20"/>
    </row>
    <row r="970" spans="2:3" x14ac:dyDescent="0.25">
      <c r="B970" s="19"/>
      <c r="C970" s="20"/>
    </row>
    <row r="971" spans="2:3" x14ac:dyDescent="0.25">
      <c r="B971" s="19"/>
      <c r="C971" s="20"/>
    </row>
    <row r="972" spans="2:3" x14ac:dyDescent="0.25">
      <c r="B972" s="19"/>
      <c r="C972" s="20"/>
    </row>
    <row r="973" spans="2:3" x14ac:dyDescent="0.25">
      <c r="B973" s="19"/>
      <c r="C973" s="20"/>
    </row>
    <row r="974" spans="2:3" x14ac:dyDescent="0.25">
      <c r="B974" s="19"/>
      <c r="C974" s="20"/>
    </row>
    <row r="975" spans="2:3" x14ac:dyDescent="0.25">
      <c r="B975" s="19"/>
      <c r="C975" s="20"/>
    </row>
    <row r="976" spans="2:3" x14ac:dyDescent="0.25">
      <c r="B976" s="19"/>
      <c r="C976" s="20"/>
    </row>
    <row r="977" spans="2:3" x14ac:dyDescent="0.25">
      <c r="B977" s="19"/>
      <c r="C977" s="20"/>
    </row>
    <row r="978" spans="2:3" x14ac:dyDescent="0.25">
      <c r="B978" s="19"/>
      <c r="C978" s="20"/>
    </row>
    <row r="979" spans="2:3" x14ac:dyDescent="0.25">
      <c r="B979" s="19"/>
      <c r="C979" s="20"/>
    </row>
    <row r="980" spans="2:3" x14ac:dyDescent="0.25">
      <c r="B980" s="19"/>
      <c r="C980" s="20"/>
    </row>
    <row r="981" spans="2:3" x14ac:dyDescent="0.25">
      <c r="B981" s="19"/>
      <c r="C981" s="20"/>
    </row>
    <row r="982" spans="2:3" x14ac:dyDescent="0.25">
      <c r="B982" s="19"/>
      <c r="C982" s="20"/>
    </row>
    <row r="983" spans="2:3" x14ac:dyDescent="0.25">
      <c r="B983" s="19"/>
      <c r="C983" s="20"/>
    </row>
    <row r="984" spans="2:3" x14ac:dyDescent="0.25">
      <c r="B984" s="19"/>
      <c r="C984" s="20"/>
    </row>
    <row r="985" spans="2:3" x14ac:dyDescent="0.25">
      <c r="B985" s="19"/>
      <c r="C985" s="20"/>
    </row>
    <row r="986" spans="2:3" x14ac:dyDescent="0.25">
      <c r="B986" s="19"/>
      <c r="C986" s="20"/>
    </row>
    <row r="987" spans="2:3" x14ac:dyDescent="0.25">
      <c r="B987" s="19"/>
      <c r="C987" s="20"/>
    </row>
    <row r="988" spans="2:3" x14ac:dyDescent="0.25">
      <c r="B988" s="19"/>
      <c r="C988" s="20"/>
    </row>
    <row r="989" spans="2:3" x14ac:dyDescent="0.25">
      <c r="B989" s="19"/>
      <c r="C989" s="20"/>
    </row>
    <row r="990" spans="2:3" x14ac:dyDescent="0.25">
      <c r="B990" s="19"/>
      <c r="C990" s="20"/>
    </row>
    <row r="991" spans="2:3" x14ac:dyDescent="0.25">
      <c r="B991" s="19"/>
      <c r="C991" s="20"/>
    </row>
    <row r="992" spans="2:3" x14ac:dyDescent="0.25">
      <c r="B992" s="19"/>
      <c r="C992" s="20"/>
    </row>
    <row r="993" spans="2:3" x14ac:dyDescent="0.25">
      <c r="B993" s="19"/>
      <c r="C993" s="20"/>
    </row>
    <row r="994" spans="2:3" x14ac:dyDescent="0.25">
      <c r="B994" s="19"/>
      <c r="C994" s="20"/>
    </row>
    <row r="995" spans="2:3" x14ac:dyDescent="0.25">
      <c r="B995" s="19"/>
      <c r="C995" s="20"/>
    </row>
    <row r="996" spans="2:3" x14ac:dyDescent="0.25">
      <c r="B996" s="19"/>
      <c r="C996" s="20"/>
    </row>
    <row r="997" spans="2:3" x14ac:dyDescent="0.25">
      <c r="B997" s="19"/>
      <c r="C997" s="20"/>
    </row>
    <row r="998" spans="2:3" x14ac:dyDescent="0.25">
      <c r="B998" s="19"/>
      <c r="C998" s="20"/>
    </row>
    <row r="999" spans="2:3" x14ac:dyDescent="0.25">
      <c r="B999" s="19"/>
      <c r="C999" s="20"/>
    </row>
    <row r="1000" spans="2:3" x14ac:dyDescent="0.25">
      <c r="B1000" s="19"/>
      <c r="C1000" s="20"/>
    </row>
  </sheetData>
  <mergeCells count="1">
    <mergeCell ref="B4:J4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listas!$F$2:$F$3</xm:f>
          </x14:formula1>
          <xm:sqref>H9:H14</xm:sqref>
        </x14:dataValidation>
        <x14:dataValidation type="list" allowBlank="1" showInputMessage="1" showErrorMessage="1" xr:uid="{00000000-0002-0000-0700-000001000000}">
          <x14:formula1>
            <xm:f>listas!$E$2:$E$6</xm:f>
          </x14:formula1>
          <xm:sqref>I9:I14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4"/>
  <dimension ref="B1:J71"/>
  <sheetViews>
    <sheetView showGridLines="0" topLeftCell="B1" workbookViewId="0">
      <selection activeCell="B4" sqref="B4:C4"/>
    </sheetView>
  </sheetViews>
  <sheetFormatPr baseColWidth="10" defaultColWidth="11" defaultRowHeight="15.75" x14ac:dyDescent="0.25"/>
  <cols>
    <col min="1" max="1" width="5.875" style="1" customWidth="1"/>
    <col min="2" max="2" width="43.875" style="1" bestFit="1" customWidth="1"/>
    <col min="3" max="3" width="17.125" style="1" customWidth="1"/>
    <col min="4" max="4" width="17" style="1" customWidth="1"/>
    <col min="5" max="5" width="14.5" style="1" customWidth="1"/>
    <col min="6" max="6" width="20" style="1" customWidth="1"/>
    <col min="7" max="7" width="25.125" style="1" customWidth="1"/>
    <col min="8" max="16384" width="11" style="1"/>
  </cols>
  <sheetData>
    <row r="1" spans="2:10" ht="16.5" thickBot="1" x14ac:dyDescent="0.3"/>
    <row r="2" spans="2:10" ht="19.5" x14ac:dyDescent="0.25">
      <c r="B2" s="476" t="s">
        <v>390</v>
      </c>
      <c r="C2" s="477"/>
      <c r="D2" s="477"/>
      <c r="E2" s="34"/>
      <c r="F2" s="34"/>
      <c r="G2" s="34"/>
      <c r="H2" s="34"/>
      <c r="I2" s="34"/>
      <c r="J2" s="34"/>
    </row>
    <row r="3" spans="2:10" x14ac:dyDescent="0.25">
      <c r="B3" s="475"/>
      <c r="C3" s="475"/>
      <c r="D3" s="475"/>
      <c r="E3" s="475"/>
      <c r="F3" s="475"/>
      <c r="G3" s="475"/>
      <c r="H3" s="475"/>
      <c r="I3" s="475"/>
      <c r="J3" s="475"/>
    </row>
    <row r="4" spans="2:10" ht="18.75" x14ac:dyDescent="0.25">
      <c r="B4" s="479" t="s">
        <v>391</v>
      </c>
      <c r="C4" s="479"/>
      <c r="D4" s="21"/>
      <c r="E4" s="21"/>
      <c r="F4" s="21"/>
      <c r="G4" s="21"/>
      <c r="H4" s="21"/>
      <c r="I4" s="21"/>
      <c r="J4" s="21"/>
    </row>
    <row r="5" spans="2:10" x14ac:dyDescent="0.25">
      <c r="E5" s="21"/>
      <c r="F5" s="21"/>
      <c r="G5" s="21"/>
      <c r="H5" s="21"/>
      <c r="I5" s="21"/>
      <c r="J5" s="21"/>
    </row>
    <row r="6" spans="2:10" x14ac:dyDescent="0.25">
      <c r="B6" s="59" t="s">
        <v>392</v>
      </c>
      <c r="C6" s="59" t="s">
        <v>393</v>
      </c>
      <c r="D6" s="59" t="s">
        <v>394</v>
      </c>
      <c r="E6" s="21"/>
      <c r="F6" s="21"/>
      <c r="G6" s="21"/>
      <c r="H6" s="21"/>
      <c r="I6" s="21"/>
      <c r="J6" s="21"/>
    </row>
    <row r="7" spans="2:10" x14ac:dyDescent="0.25">
      <c r="B7" s="36" t="e">
        <f>#REF!</f>
        <v>#REF!</v>
      </c>
      <c r="C7" s="39"/>
      <c r="D7" s="39" t="s">
        <v>395</v>
      </c>
      <c r="E7" s="21"/>
      <c r="F7" s="21"/>
      <c r="G7" s="21"/>
      <c r="H7" s="21"/>
      <c r="I7" s="21"/>
      <c r="J7" s="21"/>
    </row>
    <row r="9" spans="2:10" x14ac:dyDescent="0.25">
      <c r="B9" s="481" t="s">
        <v>396</v>
      </c>
      <c r="C9" s="60" t="s">
        <v>397</v>
      </c>
      <c r="D9" s="60" t="s">
        <v>398</v>
      </c>
    </row>
    <row r="10" spans="2:10" x14ac:dyDescent="0.25">
      <c r="B10" s="481"/>
      <c r="C10" s="39" t="s">
        <v>395</v>
      </c>
      <c r="D10" s="40"/>
      <c r="E10" s="38"/>
    </row>
    <row r="11" spans="2:10" x14ac:dyDescent="0.25">
      <c r="B11" s="22"/>
      <c r="C11" s="2"/>
      <c r="D11" s="38"/>
      <c r="E11" s="38"/>
    </row>
    <row r="12" spans="2:10" ht="18.75" x14ac:dyDescent="0.25">
      <c r="B12" s="480" t="s">
        <v>399</v>
      </c>
      <c r="C12" s="479"/>
      <c r="D12" s="38"/>
      <c r="E12" s="38"/>
    </row>
    <row r="13" spans="2:10" x14ac:dyDescent="0.25">
      <c r="B13" s="22"/>
      <c r="C13" s="2"/>
      <c r="D13" s="38"/>
      <c r="E13" s="38"/>
    </row>
    <row r="14" spans="2:10" x14ac:dyDescent="0.25">
      <c r="B14" s="22"/>
      <c r="C14" s="2"/>
      <c r="D14" s="38"/>
      <c r="E14" s="38"/>
    </row>
    <row r="15" spans="2:10" x14ac:dyDescent="0.25">
      <c r="B15" s="61" t="s">
        <v>400</v>
      </c>
      <c r="C15" s="261">
        <v>45056</v>
      </c>
      <c r="D15" s="45"/>
      <c r="E15" s="38"/>
    </row>
    <row r="16" spans="2:10" x14ac:dyDescent="0.25">
      <c r="B16" s="61" t="s">
        <v>401</v>
      </c>
      <c r="C16" s="261">
        <v>43967</v>
      </c>
      <c r="D16" s="45"/>
      <c r="E16" s="38"/>
    </row>
    <row r="17" spans="2:7" x14ac:dyDescent="0.25">
      <c r="B17" s="61" t="s">
        <v>402</v>
      </c>
      <c r="C17" s="81">
        <f>C34</f>
        <v>1</v>
      </c>
      <c r="D17" s="46"/>
      <c r="E17" s="38"/>
    </row>
    <row r="18" spans="2:7" x14ac:dyDescent="0.25">
      <c r="B18" s="61" t="s">
        <v>403</v>
      </c>
      <c r="C18" s="81">
        <f>C29</f>
        <v>2</v>
      </c>
      <c r="D18" s="46"/>
      <c r="E18" s="38"/>
    </row>
    <row r="19" spans="2:7" x14ac:dyDescent="0.25">
      <c r="B19" s="61" t="s">
        <v>404</v>
      </c>
      <c r="C19" s="81">
        <f>C33</f>
        <v>1</v>
      </c>
      <c r="D19" s="46"/>
      <c r="E19" s="38"/>
    </row>
    <row r="20" spans="2:7" x14ac:dyDescent="0.25">
      <c r="B20" s="61" t="s">
        <v>405</v>
      </c>
      <c r="C20" s="48">
        <v>30</v>
      </c>
      <c r="D20" s="46"/>
      <c r="E20" s="38"/>
    </row>
    <row r="21" spans="2:7" x14ac:dyDescent="0.25">
      <c r="B21" s="61" t="s">
        <v>406</v>
      </c>
      <c r="C21" s="81">
        <f>SUM(C28+C30+C31+C32+C35)</f>
        <v>4</v>
      </c>
      <c r="D21" s="46"/>
      <c r="E21" s="38"/>
    </row>
    <row r="22" spans="2:7" x14ac:dyDescent="0.25">
      <c r="B22" s="62" t="s">
        <v>407</v>
      </c>
      <c r="C22" s="82">
        <f>SUM(C17:C21)</f>
        <v>38</v>
      </c>
      <c r="D22" s="63"/>
      <c r="E22" s="63"/>
    </row>
    <row r="24" spans="2:7" x14ac:dyDescent="0.25">
      <c r="B24" s="64" t="s">
        <v>408</v>
      </c>
      <c r="C24" s="43" t="e">
        <f>#REF!</f>
        <v>#REF!</v>
      </c>
    </row>
    <row r="25" spans="2:7" x14ac:dyDescent="0.25">
      <c r="B25" s="64" t="s">
        <v>409</v>
      </c>
      <c r="C25" s="44" t="e">
        <f>C22-C24</f>
        <v>#REF!</v>
      </c>
    </row>
    <row r="27" spans="2:7" x14ac:dyDescent="0.25">
      <c r="B27" s="65" t="s">
        <v>410</v>
      </c>
      <c r="C27" s="65" t="s">
        <v>411</v>
      </c>
      <c r="D27" s="65" t="s">
        <v>412</v>
      </c>
      <c r="E27" s="474" t="s">
        <v>413</v>
      </c>
      <c r="F27" s="474"/>
      <c r="G27" s="474"/>
    </row>
    <row r="28" spans="2:7" ht="31.5" x14ac:dyDescent="0.25">
      <c r="B28" s="66" t="s">
        <v>414</v>
      </c>
      <c r="C28" s="42">
        <v>4</v>
      </c>
      <c r="D28" s="47" t="s">
        <v>415</v>
      </c>
      <c r="E28" s="478" t="s">
        <v>416</v>
      </c>
      <c r="F28" s="478"/>
      <c r="G28" s="478"/>
    </row>
    <row r="29" spans="2:7" x14ac:dyDescent="0.25">
      <c r="B29" s="66" t="s">
        <v>417</v>
      </c>
      <c r="C29" s="42">
        <v>2</v>
      </c>
      <c r="D29" s="47">
        <v>45058</v>
      </c>
      <c r="E29" s="473" t="s">
        <v>418</v>
      </c>
      <c r="F29" s="473"/>
      <c r="G29" s="473"/>
    </row>
    <row r="30" spans="2:7" ht="33" customHeight="1" x14ac:dyDescent="0.25">
      <c r="B30" s="66" t="s">
        <v>419</v>
      </c>
      <c r="C30" s="42"/>
      <c r="D30" s="47"/>
      <c r="E30" s="473"/>
      <c r="F30" s="473"/>
      <c r="G30" s="473"/>
    </row>
    <row r="31" spans="2:7" ht="31.5" x14ac:dyDescent="0.25">
      <c r="B31" s="66" t="s">
        <v>420</v>
      </c>
      <c r="C31" s="42"/>
      <c r="D31" s="47"/>
      <c r="E31" s="473"/>
      <c r="F31" s="473"/>
      <c r="G31" s="473"/>
    </row>
    <row r="32" spans="2:7" ht="35.25" customHeight="1" x14ac:dyDescent="0.25">
      <c r="B32" s="66" t="s">
        <v>421</v>
      </c>
      <c r="C32" s="42"/>
      <c r="D32" s="47"/>
      <c r="E32" s="473"/>
      <c r="F32" s="473"/>
      <c r="G32" s="473"/>
    </row>
    <row r="33" spans="2:7" ht="39" customHeight="1" x14ac:dyDescent="0.25">
      <c r="B33" s="66" t="s">
        <v>422</v>
      </c>
      <c r="C33" s="42">
        <v>1</v>
      </c>
      <c r="D33" s="47">
        <v>45059</v>
      </c>
      <c r="E33" s="473" t="s">
        <v>423</v>
      </c>
      <c r="F33" s="473"/>
      <c r="G33" s="473"/>
    </row>
    <row r="34" spans="2:7" ht="35.25" customHeight="1" x14ac:dyDescent="0.25">
      <c r="B34" s="66" t="s">
        <v>424</v>
      </c>
      <c r="C34" s="42">
        <v>1</v>
      </c>
      <c r="D34" s="47">
        <v>45055</v>
      </c>
      <c r="E34" s="473" t="s">
        <v>425</v>
      </c>
      <c r="F34" s="473"/>
      <c r="G34" s="473"/>
    </row>
    <row r="35" spans="2:7" ht="29.25" customHeight="1" x14ac:dyDescent="0.25">
      <c r="B35" s="66" t="s">
        <v>426</v>
      </c>
      <c r="C35" s="42"/>
      <c r="D35" s="47"/>
      <c r="E35" s="473"/>
      <c r="F35" s="473"/>
      <c r="G35" s="473"/>
    </row>
    <row r="36" spans="2:7" x14ac:dyDescent="0.25">
      <c r="B36" s="67" t="s">
        <v>427</v>
      </c>
      <c r="C36" s="35">
        <f>SUM(C28:C35)</f>
        <v>8</v>
      </c>
      <c r="D36" s="5"/>
      <c r="E36" s="6"/>
      <c r="F36" s="6"/>
      <c r="G36" s="6"/>
    </row>
    <row r="37" spans="2:7" x14ac:dyDescent="0.25">
      <c r="B37" s="68"/>
      <c r="C37" s="69"/>
      <c r="D37" s="5"/>
      <c r="E37" s="6"/>
      <c r="F37" s="6"/>
      <c r="G37" s="6"/>
    </row>
    <row r="39" spans="2:7" ht="18.75" x14ac:dyDescent="0.25">
      <c r="B39" s="479" t="s">
        <v>428</v>
      </c>
      <c r="C39" s="479"/>
    </row>
    <row r="41" spans="2:7" x14ac:dyDescent="0.25">
      <c r="B41" s="70" t="s">
        <v>429</v>
      </c>
      <c r="C41" s="70" t="s">
        <v>430</v>
      </c>
    </row>
    <row r="42" spans="2:7" x14ac:dyDescent="0.25">
      <c r="B42" s="71" t="s">
        <v>431</v>
      </c>
      <c r="C42" s="83" t="e">
        <f>#REF!</f>
        <v>#REF!</v>
      </c>
    </row>
    <row r="43" spans="2:7" x14ac:dyDescent="0.25">
      <c r="B43" s="71" t="s">
        <v>432</v>
      </c>
      <c r="C43" s="41">
        <v>0</v>
      </c>
    </row>
    <row r="44" spans="2:7" x14ac:dyDescent="0.25">
      <c r="B44" s="71" t="s">
        <v>433</v>
      </c>
      <c r="C44" s="41">
        <v>0</v>
      </c>
    </row>
    <row r="45" spans="2:7" x14ac:dyDescent="0.25">
      <c r="B45" s="72" t="s">
        <v>51</v>
      </c>
      <c r="C45" s="37" t="e">
        <f>SUM(C42:C44)</f>
        <v>#REF!</v>
      </c>
    </row>
    <row r="47" spans="2:7" ht="18.75" x14ac:dyDescent="0.25">
      <c r="B47" s="479" t="s">
        <v>434</v>
      </c>
      <c r="C47" s="479"/>
    </row>
    <row r="48" spans="2:7" ht="18.75" x14ac:dyDescent="0.25">
      <c r="B48" s="50"/>
      <c r="C48" s="50"/>
    </row>
    <row r="49" spans="2:9" x14ac:dyDescent="0.25">
      <c r="B49" s="73" t="s">
        <v>435</v>
      </c>
      <c r="C49" s="84" t="e">
        <f>#REF!</f>
        <v>#REF!</v>
      </c>
    </row>
    <row r="51" spans="2:9" x14ac:dyDescent="0.25">
      <c r="B51" s="482" t="s">
        <v>367</v>
      </c>
      <c r="C51" s="75" t="s">
        <v>436</v>
      </c>
      <c r="D51" s="75" t="s">
        <v>437</v>
      </c>
      <c r="E51" s="76" t="s">
        <v>438</v>
      </c>
      <c r="I51" s="22"/>
    </row>
    <row r="52" spans="2:9" x14ac:dyDescent="0.25">
      <c r="B52" s="482"/>
      <c r="C52" s="84" t="e">
        <f>COUNTIFS(CATEGORIAM,"Defecto")</f>
        <v>#REF!</v>
      </c>
      <c r="D52" s="84" t="e">
        <f>COUNTIFS(RESUMEN,"*Hallazgo*")</f>
        <v>#REF!</v>
      </c>
      <c r="E52" s="84" t="e">
        <f>COUNTIFS(CATEGORIAM,"Mejora")</f>
        <v>#REF!</v>
      </c>
      <c r="I52" s="22"/>
    </row>
    <row r="53" spans="2:9" x14ac:dyDescent="0.25">
      <c r="B53" s="483" t="s">
        <v>439</v>
      </c>
      <c r="C53" s="75" t="s">
        <v>440</v>
      </c>
      <c r="D53" s="75" t="s">
        <v>441</v>
      </c>
      <c r="E53" s="75" t="s">
        <v>442</v>
      </c>
      <c r="F53" s="75" t="s">
        <v>443</v>
      </c>
      <c r="G53" s="77"/>
    </row>
    <row r="54" spans="2:9" x14ac:dyDescent="0.25">
      <c r="B54" s="484"/>
      <c r="C54" s="84" t="e">
        <f>COUNTIFS(PRIORIDAD,"C")</f>
        <v>#REF!</v>
      </c>
      <c r="D54" s="84" t="e">
        <f>COUNTIFS(PRIORIDAD,"B")</f>
        <v>#REF!</v>
      </c>
      <c r="E54" s="84" t="e">
        <f>COUNTIFS(PRIORIDAD,"A")-F54</f>
        <v>#REF!</v>
      </c>
      <c r="F54" s="84" t="e">
        <f>COUNTIFS(RESUMEN,"*BLOQ*")</f>
        <v>#REF!</v>
      </c>
      <c r="G54" s="22"/>
    </row>
    <row r="55" spans="2:9" x14ac:dyDescent="0.25">
      <c r="B55" s="482" t="s">
        <v>15</v>
      </c>
      <c r="C55" s="75" t="s">
        <v>444</v>
      </c>
      <c r="D55" s="75" t="s">
        <v>48</v>
      </c>
      <c r="E55" s="75" t="s">
        <v>445</v>
      </c>
      <c r="F55" s="75" t="s">
        <v>446</v>
      </c>
      <c r="G55" s="75" t="s">
        <v>447</v>
      </c>
      <c r="H55" s="22"/>
      <c r="I55" s="22"/>
    </row>
    <row r="56" spans="2:9" x14ac:dyDescent="0.25">
      <c r="B56" s="482"/>
      <c r="C56" s="74">
        <v>0</v>
      </c>
      <c r="D56" s="74">
        <v>0</v>
      </c>
      <c r="E56" s="74">
        <v>0</v>
      </c>
      <c r="F56" s="84">
        <f>COUNT(ID)</f>
        <v>0</v>
      </c>
      <c r="G56" s="74">
        <v>0</v>
      </c>
      <c r="H56" s="22"/>
      <c r="I56" s="22"/>
    </row>
    <row r="57" spans="2:9" x14ac:dyDescent="0.25">
      <c r="B57" s="482" t="s">
        <v>368</v>
      </c>
      <c r="C57" s="75" t="s">
        <v>448</v>
      </c>
      <c r="D57" s="75" t="s">
        <v>449</v>
      </c>
      <c r="E57" s="75" t="s">
        <v>450</v>
      </c>
      <c r="F57" s="78" t="s">
        <v>213</v>
      </c>
      <c r="G57" s="78" t="s">
        <v>445</v>
      </c>
      <c r="H57" s="76" t="s">
        <v>451</v>
      </c>
      <c r="I57" s="22"/>
    </row>
    <row r="58" spans="2:9" x14ac:dyDescent="0.25">
      <c r="B58" s="482"/>
      <c r="C58" s="84" t="e">
        <f>COUNTIF(ESTADO,"Cerrado")</f>
        <v>#REF!</v>
      </c>
      <c r="D58" s="84" t="e">
        <f>COUNTIF(ESTADO,"Devuelto")</f>
        <v>#REF!</v>
      </c>
      <c r="E58" s="84" t="e">
        <f>COUNTIF(ESTADO,"En Monitoreo")</f>
        <v>#REF!</v>
      </c>
      <c r="F58" s="85" t="e">
        <f>COUNTIF(ESTADO,"Asignado")</f>
        <v>#REF!</v>
      </c>
      <c r="G58" s="85" t="e">
        <f>COUNTIF(ESTADO,"En Instalación")</f>
        <v>#REF!</v>
      </c>
      <c r="H58" s="84" t="e">
        <f>COUNTIF(ESTADO,"SFR")</f>
        <v>#REF!</v>
      </c>
      <c r="I58" s="22"/>
    </row>
    <row r="59" spans="2:9" x14ac:dyDescent="0.25">
      <c r="B59" s="482" t="s">
        <v>452</v>
      </c>
      <c r="C59" s="75" t="s">
        <v>84</v>
      </c>
      <c r="D59" s="75" t="s">
        <v>453</v>
      </c>
      <c r="E59" s="75" t="s">
        <v>454</v>
      </c>
      <c r="F59" s="75" t="s">
        <v>455</v>
      </c>
      <c r="G59" s="75" t="s">
        <v>456</v>
      </c>
      <c r="H59" s="75" t="s">
        <v>457</v>
      </c>
      <c r="I59" s="75" t="s">
        <v>458</v>
      </c>
    </row>
    <row r="60" spans="2:9" x14ac:dyDescent="0.25">
      <c r="B60" s="482"/>
      <c r="C60" s="84" t="e">
        <f>COUNTIF(CATEGORIAM,"Defecto")</f>
        <v>#REF!</v>
      </c>
      <c r="D60" s="84" t="e">
        <f>COUNTIF(CATEGORIAM,"Documentación")</f>
        <v>#REF!</v>
      </c>
      <c r="E60" s="84" t="e">
        <f>COUNTIF(CATEGORIAM,"Parametrización")</f>
        <v>#REF!</v>
      </c>
      <c r="F60" s="84" t="e">
        <f>COUNTIF(CATEGORIAM,"Ambiente")</f>
        <v>#REF!</v>
      </c>
      <c r="G60" s="84" t="e">
        <f>COUNTIF(CATEGORIAM,"Datos")</f>
        <v>#REF!</v>
      </c>
      <c r="H60" s="84" t="e">
        <f>COUNTIF(CATEGORIAM,"Desempeño")</f>
        <v>#REF!</v>
      </c>
      <c r="I60" s="84" t="e">
        <f>COUNTIF(CATEGORIAM,"Seguridad")</f>
        <v>#REF!</v>
      </c>
    </row>
    <row r="61" spans="2:9" ht="18.75" x14ac:dyDescent="0.25">
      <c r="B61" s="50"/>
      <c r="C61" s="50"/>
    </row>
    <row r="62" spans="2:9" ht="18.75" x14ac:dyDescent="0.25">
      <c r="B62" s="50"/>
      <c r="C62" s="50"/>
    </row>
    <row r="63" spans="2:9" ht="18.75" x14ac:dyDescent="0.25">
      <c r="B63" s="479" t="s">
        <v>459</v>
      </c>
      <c r="C63" s="479"/>
    </row>
    <row r="64" spans="2:9" x14ac:dyDescent="0.25">
      <c r="B64" s="77"/>
    </row>
    <row r="65" spans="2:9" x14ac:dyDescent="0.25">
      <c r="B65" s="79" t="s">
        <v>460</v>
      </c>
    </row>
    <row r="66" spans="2:9" x14ac:dyDescent="0.25">
      <c r="B66" s="41">
        <v>0</v>
      </c>
    </row>
    <row r="67" spans="2:9" x14ac:dyDescent="0.25">
      <c r="B67" s="79" t="s">
        <v>461</v>
      </c>
    </row>
    <row r="68" spans="2:9" x14ac:dyDescent="0.25">
      <c r="B68" s="41">
        <v>0</v>
      </c>
    </row>
    <row r="70" spans="2:9" ht="20.25" customHeight="1" x14ac:dyDescent="0.25">
      <c r="B70" s="80"/>
      <c r="C70" s="80"/>
      <c r="D70" s="21"/>
      <c r="E70" s="21"/>
      <c r="F70" s="21"/>
      <c r="G70" s="21"/>
      <c r="H70" s="21"/>
      <c r="I70" s="21"/>
    </row>
    <row r="71" spans="2:9" ht="22.5" customHeight="1" x14ac:dyDescent="0.25">
      <c r="E71" s="21"/>
      <c r="F71" s="21"/>
      <c r="G71" s="21"/>
      <c r="H71" s="21"/>
      <c r="I71" s="21"/>
    </row>
  </sheetData>
  <sheetProtection algorithmName="SHA-512" hashValue="pBhDMNg42638cBX8YsIgmMXdxkkVDMHRM3pdBEFfMNZPLUvlZ7GShxgsdxppcc4lbFlVr8yq9LUt+L1pAc9MWQ==" saltValue="H0oGPuxuhbKStHoQ6nbGyw==" spinCount="100000" sheet="1"/>
  <mergeCells count="22">
    <mergeCell ref="B39:C39"/>
    <mergeCell ref="B12:C12"/>
    <mergeCell ref="B63:C63"/>
    <mergeCell ref="B4:C4"/>
    <mergeCell ref="B9:B10"/>
    <mergeCell ref="B47:C47"/>
    <mergeCell ref="B51:B52"/>
    <mergeCell ref="B53:B54"/>
    <mergeCell ref="B55:B56"/>
    <mergeCell ref="B57:B58"/>
    <mergeCell ref="B59:B60"/>
    <mergeCell ref="E27:G27"/>
    <mergeCell ref="B3:J3"/>
    <mergeCell ref="B2:D2"/>
    <mergeCell ref="E28:G28"/>
    <mergeCell ref="E29:G29"/>
    <mergeCell ref="E30:G30"/>
    <mergeCell ref="E31:G31"/>
    <mergeCell ref="E32:G32"/>
    <mergeCell ref="E34:G34"/>
    <mergeCell ref="E35:G35"/>
    <mergeCell ref="E33:G33"/>
  </mergeCells>
  <phoneticPr fontId="27" type="noConversion"/>
  <conditionalFormatting sqref="C25">
    <cfRule type="cellIs" dxfId="2" priority="1" operator="greaterThan">
      <formula>0</formula>
    </cfRule>
    <cfRule type="cellIs" dxfId="1" priority="2" operator="lessThanOrEqual">
      <formula>$C$24</formula>
    </cfRule>
    <cfRule type="cellIs" dxfId="0" priority="3" operator="greaterThan">
      <formula>$C$24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5"/>
  <dimension ref="A1:Y61"/>
  <sheetViews>
    <sheetView showGridLines="0" workbookViewId="0">
      <selection activeCell="D7" sqref="D7"/>
    </sheetView>
  </sheetViews>
  <sheetFormatPr baseColWidth="10" defaultColWidth="11" defaultRowHeight="15.75" x14ac:dyDescent="0.25"/>
  <cols>
    <col min="1" max="1" width="11" style="15"/>
    <col min="2" max="2" width="14.875" bestFit="1" customWidth="1"/>
    <col min="3" max="3" width="14.375" bestFit="1" customWidth="1"/>
    <col min="4" max="4" width="16.375" bestFit="1" customWidth="1"/>
    <col min="5" max="5" width="14.875" customWidth="1"/>
    <col min="6" max="6" width="13.5" bestFit="1" customWidth="1"/>
    <col min="7" max="7" width="29.625" bestFit="1" customWidth="1"/>
    <col min="8" max="8" width="56.875" customWidth="1"/>
    <col min="9" max="9" width="18.625" customWidth="1"/>
    <col min="10" max="10" width="19.125" customWidth="1"/>
    <col min="11" max="11" width="16.625" bestFit="1" customWidth="1"/>
    <col min="13" max="13" width="29.625" bestFit="1" customWidth="1"/>
    <col min="14" max="15" width="29.625" customWidth="1"/>
    <col min="17" max="17" width="17.125" bestFit="1" customWidth="1"/>
    <col min="23" max="23" width="31.375" bestFit="1" customWidth="1"/>
    <col min="24" max="24" width="21.5" bestFit="1" customWidth="1"/>
    <col min="25" max="25" width="9" bestFit="1" customWidth="1"/>
    <col min="26" max="26" width="11.5" bestFit="1" customWidth="1"/>
    <col min="27" max="27" width="16" bestFit="1" customWidth="1"/>
    <col min="28" max="28" width="13.125" bestFit="1" customWidth="1"/>
    <col min="29" max="29" width="9" bestFit="1" customWidth="1"/>
  </cols>
  <sheetData>
    <row r="1" spans="1:25" x14ac:dyDescent="0.25">
      <c r="A1" s="184" t="s">
        <v>462</v>
      </c>
      <c r="B1" s="184" t="s">
        <v>463</v>
      </c>
      <c r="C1" s="4" t="s">
        <v>212</v>
      </c>
      <c r="D1" s="4" t="s">
        <v>464</v>
      </c>
      <c r="E1" s="18" t="s">
        <v>465</v>
      </c>
      <c r="F1" s="158" t="s">
        <v>466</v>
      </c>
      <c r="G1" s="174" t="s">
        <v>467</v>
      </c>
      <c r="H1" s="177" t="s">
        <v>53</v>
      </c>
      <c r="I1" s="169" t="s">
        <v>468</v>
      </c>
      <c r="J1" s="161" t="s">
        <v>42</v>
      </c>
      <c r="K1" s="18" t="s">
        <v>469</v>
      </c>
      <c r="L1" s="158" t="s">
        <v>470</v>
      </c>
      <c r="M1" s="18" t="s">
        <v>471</v>
      </c>
      <c r="N1" s="18" t="s">
        <v>42</v>
      </c>
      <c r="O1" s="165"/>
    </row>
    <row r="2" spans="1:25" x14ac:dyDescent="0.25">
      <c r="A2" s="15" t="s">
        <v>472</v>
      </c>
      <c r="B2" s="185" t="s">
        <v>473</v>
      </c>
      <c r="C2" s="159" t="s">
        <v>474</v>
      </c>
      <c r="D2" s="159" t="s">
        <v>167</v>
      </c>
      <c r="E2" s="17" t="s">
        <v>475</v>
      </c>
      <c r="F2" s="160" t="s">
        <v>374</v>
      </c>
      <c r="G2" s="173"/>
      <c r="H2" s="166" t="s">
        <v>476</v>
      </c>
      <c r="I2" s="170" t="s">
        <v>25</v>
      </c>
      <c r="J2" s="167" t="s">
        <v>25</v>
      </c>
      <c r="K2" s="17" t="s">
        <v>189</v>
      </c>
      <c r="L2" s="160"/>
      <c r="M2" s="17" t="s">
        <v>477</v>
      </c>
      <c r="N2" s="17" t="s">
        <v>191</v>
      </c>
      <c r="O2" s="15"/>
      <c r="W2" t="s">
        <v>478</v>
      </c>
    </row>
    <row r="3" spans="1:25" ht="25.5" x14ac:dyDescent="0.25">
      <c r="A3" s="17" t="s">
        <v>479</v>
      </c>
      <c r="B3" s="185" t="s">
        <v>480</v>
      </c>
      <c r="C3" s="159" t="s">
        <v>481</v>
      </c>
      <c r="D3" s="159" t="s">
        <v>161</v>
      </c>
      <c r="E3" s="17" t="s">
        <v>389</v>
      </c>
      <c r="F3" s="160" t="s">
        <v>388</v>
      </c>
      <c r="G3" s="173" t="s">
        <v>482</v>
      </c>
      <c r="H3" s="166" t="s">
        <v>483</v>
      </c>
      <c r="I3" s="170" t="s">
        <v>25</v>
      </c>
      <c r="J3" s="167" t="s">
        <v>484</v>
      </c>
      <c r="K3" s="17" t="s">
        <v>16</v>
      </c>
      <c r="L3" s="160" t="s">
        <v>485</v>
      </c>
      <c r="M3" s="17" t="s">
        <v>486</v>
      </c>
      <c r="N3" s="17" t="s">
        <v>366</v>
      </c>
      <c r="O3" s="15"/>
      <c r="P3" s="162" t="s">
        <v>487</v>
      </c>
      <c r="Q3" s="144" t="s">
        <v>488</v>
      </c>
      <c r="R3" s="144" t="s">
        <v>489</v>
      </c>
      <c r="S3" s="144" t="s">
        <v>490</v>
      </c>
      <c r="T3" s="144" t="s">
        <v>491</v>
      </c>
      <c r="U3" s="145"/>
    </row>
    <row r="4" spans="1:25" x14ac:dyDescent="0.25">
      <c r="A4" s="17" t="s">
        <v>492</v>
      </c>
      <c r="B4" s="186" t="s">
        <v>493</v>
      </c>
      <c r="D4" s="159" t="s">
        <v>87</v>
      </c>
      <c r="E4" s="17" t="s">
        <v>494</v>
      </c>
      <c r="F4" s="160"/>
      <c r="G4" s="179" t="s">
        <v>495</v>
      </c>
      <c r="H4" s="166" t="s">
        <v>496</v>
      </c>
      <c r="I4" s="170" t="s">
        <v>25</v>
      </c>
      <c r="J4" s="167" t="s">
        <v>497</v>
      </c>
      <c r="K4" s="17" t="s">
        <v>48</v>
      </c>
      <c r="L4" s="160" t="s">
        <v>498</v>
      </c>
      <c r="M4" s="17" t="s">
        <v>499</v>
      </c>
      <c r="N4" s="17" t="s">
        <v>500</v>
      </c>
      <c r="O4" s="15"/>
      <c r="P4" s="163" t="s">
        <v>501</v>
      </c>
      <c r="Q4" s="147" t="s">
        <v>453</v>
      </c>
      <c r="R4" s="148">
        <v>0</v>
      </c>
      <c r="S4" s="148">
        <v>0</v>
      </c>
      <c r="T4" s="147" t="s">
        <v>84</v>
      </c>
      <c r="U4" s="145"/>
      <c r="W4" s="194" t="s">
        <v>502</v>
      </c>
      <c r="X4" s="194" t="s">
        <v>503</v>
      </c>
      <c r="Y4" s="1"/>
    </row>
    <row r="5" spans="1:25" x14ac:dyDescent="0.25">
      <c r="A5" s="17" t="s">
        <v>504</v>
      </c>
      <c r="B5" s="186" t="s">
        <v>505</v>
      </c>
      <c r="E5" s="17" t="s">
        <v>375</v>
      </c>
      <c r="F5" s="160"/>
      <c r="G5" s="173" t="s">
        <v>506</v>
      </c>
      <c r="H5" s="166" t="s">
        <v>507</v>
      </c>
      <c r="I5" s="170" t="s">
        <v>25</v>
      </c>
      <c r="J5" s="167" t="s">
        <v>12</v>
      </c>
      <c r="K5" s="17" t="s">
        <v>49</v>
      </c>
      <c r="M5" s="17" t="s">
        <v>508</v>
      </c>
      <c r="N5" s="15"/>
      <c r="O5" s="15"/>
      <c r="P5" s="163" t="s">
        <v>501</v>
      </c>
      <c r="Q5" s="147" t="s">
        <v>84</v>
      </c>
      <c r="R5" s="148">
        <v>0</v>
      </c>
      <c r="S5" s="148">
        <v>0</v>
      </c>
      <c r="T5" s="147" t="s">
        <v>484</v>
      </c>
      <c r="U5" s="145"/>
      <c r="W5" s="194" t="s">
        <v>79</v>
      </c>
      <c r="X5" s="22" t="s">
        <v>509</v>
      </c>
      <c r="Y5" s="22" t="s">
        <v>510</v>
      </c>
    </row>
    <row r="6" spans="1:25" x14ac:dyDescent="0.25">
      <c r="A6" s="17" t="s">
        <v>511</v>
      </c>
      <c r="B6" s="186"/>
      <c r="E6" s="17" t="s">
        <v>512</v>
      </c>
      <c r="G6" s="173" t="s">
        <v>513</v>
      </c>
      <c r="H6" s="166" t="s">
        <v>514</v>
      </c>
      <c r="I6" s="170" t="s">
        <v>25</v>
      </c>
      <c r="J6" s="167" t="s">
        <v>515</v>
      </c>
      <c r="K6" s="17" t="s">
        <v>50</v>
      </c>
      <c r="M6" s="17" t="s">
        <v>436</v>
      </c>
      <c r="N6" s="15"/>
      <c r="O6" s="15"/>
      <c r="P6" s="163" t="s">
        <v>501</v>
      </c>
      <c r="Q6" s="149" t="s">
        <v>516</v>
      </c>
      <c r="R6" s="148">
        <v>0</v>
      </c>
      <c r="S6" s="148">
        <v>0</v>
      </c>
      <c r="T6" s="147" t="s">
        <v>484</v>
      </c>
      <c r="U6" s="145"/>
      <c r="W6" s="195" t="s">
        <v>517</v>
      </c>
      <c r="X6" s="1">
        <v>47</v>
      </c>
      <c r="Y6" s="1">
        <v>47</v>
      </c>
    </row>
    <row r="7" spans="1:25" x14ac:dyDescent="0.25">
      <c r="A7" s="17" t="s">
        <v>518</v>
      </c>
      <c r="G7" s="173" t="s">
        <v>519</v>
      </c>
      <c r="H7" s="166" t="s">
        <v>520</v>
      </c>
      <c r="I7" s="170" t="s">
        <v>25</v>
      </c>
      <c r="J7" s="167" t="s">
        <v>521</v>
      </c>
      <c r="M7" s="17" t="s">
        <v>522</v>
      </c>
      <c r="N7" s="15"/>
      <c r="O7" s="15"/>
      <c r="P7" s="163" t="s">
        <v>501</v>
      </c>
      <c r="Q7" s="149" t="s">
        <v>523</v>
      </c>
      <c r="R7" s="148">
        <v>0</v>
      </c>
      <c r="S7" s="148">
        <v>0</v>
      </c>
      <c r="T7" s="147" t="s">
        <v>484</v>
      </c>
      <c r="U7" s="145"/>
      <c r="W7" s="195">
        <v>0</v>
      </c>
      <c r="X7" s="1">
        <v>62</v>
      </c>
      <c r="Y7" s="1">
        <v>62</v>
      </c>
    </row>
    <row r="8" spans="1:25" ht="26.25" x14ac:dyDescent="0.25">
      <c r="A8" s="192" t="s">
        <v>524</v>
      </c>
      <c r="G8" s="173" t="s">
        <v>525</v>
      </c>
      <c r="H8" s="166" t="s">
        <v>526</v>
      </c>
      <c r="I8" s="170" t="s">
        <v>25</v>
      </c>
      <c r="J8" s="167" t="s">
        <v>527</v>
      </c>
      <c r="M8" s="17" t="s">
        <v>528</v>
      </c>
      <c r="N8" s="15"/>
      <c r="O8" s="15"/>
      <c r="P8" s="163" t="s">
        <v>529</v>
      </c>
      <c r="Q8" s="147" t="s">
        <v>529</v>
      </c>
      <c r="R8" s="148">
        <v>0</v>
      </c>
      <c r="S8" s="148">
        <v>0</v>
      </c>
      <c r="T8" s="147" t="s">
        <v>484</v>
      </c>
      <c r="U8" s="145"/>
      <c r="W8" s="195" t="s">
        <v>530</v>
      </c>
      <c r="X8" s="1">
        <v>1</v>
      </c>
      <c r="Y8" s="1">
        <v>1</v>
      </c>
    </row>
    <row r="9" spans="1:25" ht="26.25" x14ac:dyDescent="0.25">
      <c r="A9" s="192" t="s">
        <v>531</v>
      </c>
      <c r="G9" s="173" t="s">
        <v>532</v>
      </c>
      <c r="H9" s="166" t="s">
        <v>533</v>
      </c>
      <c r="I9" s="170" t="s">
        <v>534</v>
      </c>
      <c r="J9" s="167"/>
      <c r="P9" s="146" t="s">
        <v>535</v>
      </c>
      <c r="Q9" s="147" t="s">
        <v>499</v>
      </c>
      <c r="R9" s="148">
        <v>0</v>
      </c>
      <c r="S9" s="148">
        <v>0</v>
      </c>
      <c r="T9" s="147" t="s">
        <v>484</v>
      </c>
      <c r="U9" s="145"/>
      <c r="W9" s="195" t="s">
        <v>536</v>
      </c>
      <c r="X9" s="1">
        <v>1</v>
      </c>
      <c r="Y9" s="1">
        <v>1</v>
      </c>
    </row>
    <row r="10" spans="1:25" x14ac:dyDescent="0.25">
      <c r="A10" s="192" t="s">
        <v>537</v>
      </c>
      <c r="G10" s="173" t="s">
        <v>538</v>
      </c>
      <c r="H10" s="166" t="s">
        <v>539</v>
      </c>
      <c r="I10" s="170" t="s">
        <v>534</v>
      </c>
      <c r="J10" s="167"/>
      <c r="P10" s="146" t="s">
        <v>501</v>
      </c>
      <c r="Q10" s="147" t="s">
        <v>540</v>
      </c>
      <c r="R10" s="148">
        <v>0</v>
      </c>
      <c r="S10" s="148">
        <v>0</v>
      </c>
      <c r="T10" s="147" t="s">
        <v>25</v>
      </c>
      <c r="U10" s="145"/>
      <c r="W10" s="195" t="s">
        <v>541</v>
      </c>
      <c r="X10" s="1">
        <v>1</v>
      </c>
      <c r="Y10" s="1">
        <v>1</v>
      </c>
    </row>
    <row r="11" spans="1:25" x14ac:dyDescent="0.25">
      <c r="A11" s="192" t="s">
        <v>542</v>
      </c>
      <c r="G11" s="173" t="s">
        <v>543</v>
      </c>
      <c r="H11" s="166" t="s">
        <v>544</v>
      </c>
      <c r="I11" s="170" t="s">
        <v>534</v>
      </c>
      <c r="J11" s="167"/>
      <c r="P11" s="150"/>
      <c r="Q11" s="151"/>
      <c r="R11" s="143"/>
      <c r="S11" s="143"/>
      <c r="T11" s="151"/>
      <c r="U11" s="143"/>
    </row>
    <row r="12" spans="1:25" x14ac:dyDescent="0.25">
      <c r="A12" s="192" t="s">
        <v>545</v>
      </c>
      <c r="G12" s="173" t="s">
        <v>546</v>
      </c>
      <c r="H12" s="166" t="s">
        <v>547</v>
      </c>
      <c r="I12" s="170" t="s">
        <v>534</v>
      </c>
      <c r="J12" s="167"/>
      <c r="P12" s="485" t="s">
        <v>368</v>
      </c>
      <c r="Q12" s="487" t="s">
        <v>548</v>
      </c>
      <c r="R12" s="488"/>
      <c r="S12" s="488"/>
      <c r="T12" s="488"/>
      <c r="U12" s="489"/>
    </row>
    <row r="13" spans="1:25" x14ac:dyDescent="0.25">
      <c r="A13" s="192" t="s">
        <v>549</v>
      </c>
      <c r="G13" s="173" t="s">
        <v>550</v>
      </c>
      <c r="H13" s="166" t="s">
        <v>551</v>
      </c>
      <c r="I13" s="170" t="s">
        <v>534</v>
      </c>
      <c r="J13" s="167"/>
      <c r="P13" s="486"/>
      <c r="Q13" s="152" t="s">
        <v>552</v>
      </c>
      <c r="R13" s="152" t="s">
        <v>553</v>
      </c>
      <c r="S13" s="152" t="s">
        <v>261</v>
      </c>
      <c r="T13" s="152" t="s">
        <v>554</v>
      </c>
      <c r="U13" s="152" t="s">
        <v>555</v>
      </c>
    </row>
    <row r="14" spans="1:25" x14ac:dyDescent="0.25">
      <c r="A14" s="192" t="s">
        <v>556</v>
      </c>
      <c r="G14" s="173" t="s">
        <v>557</v>
      </c>
      <c r="H14" s="166" t="s">
        <v>558</v>
      </c>
      <c r="I14" s="170" t="s">
        <v>534</v>
      </c>
      <c r="J14" s="167"/>
      <c r="P14" s="153" t="s">
        <v>213</v>
      </c>
      <c r="Q14" s="154">
        <v>0</v>
      </c>
      <c r="R14" s="154">
        <v>0</v>
      </c>
      <c r="S14" s="154">
        <v>0</v>
      </c>
      <c r="T14" s="154">
        <v>0</v>
      </c>
      <c r="U14" s="155">
        <f t="shared" ref="U14:U19" si="0">SUM(Q14:T14)</f>
        <v>0</v>
      </c>
    </row>
    <row r="15" spans="1:25" x14ac:dyDescent="0.25">
      <c r="A15" s="192" t="s">
        <v>559</v>
      </c>
      <c r="G15" s="173" t="s">
        <v>560</v>
      </c>
      <c r="H15" s="166" t="s">
        <v>561</v>
      </c>
      <c r="I15" s="170" t="s">
        <v>534</v>
      </c>
      <c r="J15" s="167"/>
      <c r="P15" s="153" t="s">
        <v>562</v>
      </c>
      <c r="Q15" s="154">
        <v>0</v>
      </c>
      <c r="R15" s="154">
        <v>0</v>
      </c>
      <c r="S15" s="154">
        <v>0</v>
      </c>
      <c r="T15" s="154">
        <v>0</v>
      </c>
      <c r="U15" s="155">
        <f t="shared" si="0"/>
        <v>0</v>
      </c>
    </row>
    <row r="16" spans="1:25" x14ac:dyDescent="0.25">
      <c r="A16" s="192" t="s">
        <v>563</v>
      </c>
      <c r="G16" s="173" t="s">
        <v>564</v>
      </c>
      <c r="H16" s="166" t="s">
        <v>565</v>
      </c>
      <c r="I16" s="170" t="s">
        <v>534</v>
      </c>
      <c r="J16" s="167"/>
      <c r="P16" s="153" t="s">
        <v>566</v>
      </c>
      <c r="Q16" s="154">
        <v>0</v>
      </c>
      <c r="R16" s="154">
        <v>0</v>
      </c>
      <c r="S16" s="154">
        <v>0</v>
      </c>
      <c r="T16" s="154">
        <v>0</v>
      </c>
      <c r="U16" s="155">
        <f t="shared" si="0"/>
        <v>0</v>
      </c>
    </row>
    <row r="17" spans="1:21" x14ac:dyDescent="0.25">
      <c r="A17" s="192" t="s">
        <v>567</v>
      </c>
      <c r="G17" s="173" t="s">
        <v>568</v>
      </c>
      <c r="H17" s="166" t="s">
        <v>569</v>
      </c>
      <c r="I17" s="170" t="s">
        <v>534</v>
      </c>
      <c r="J17" s="167"/>
      <c r="P17" s="153" t="s">
        <v>570</v>
      </c>
      <c r="Q17" s="154">
        <v>0</v>
      </c>
      <c r="R17" s="154">
        <v>0</v>
      </c>
      <c r="S17" s="154">
        <v>0</v>
      </c>
      <c r="T17" s="154">
        <v>0</v>
      </c>
      <c r="U17" s="155">
        <f t="shared" si="0"/>
        <v>0</v>
      </c>
    </row>
    <row r="18" spans="1:21" x14ac:dyDescent="0.25">
      <c r="A18" s="192" t="s">
        <v>571</v>
      </c>
      <c r="G18" s="173" t="s">
        <v>572</v>
      </c>
      <c r="H18" s="166" t="s">
        <v>573</v>
      </c>
      <c r="I18" s="170" t="s">
        <v>574</v>
      </c>
      <c r="J18" s="167"/>
      <c r="P18" s="153" t="s">
        <v>448</v>
      </c>
      <c r="Q18" s="154">
        <v>0</v>
      </c>
      <c r="R18" s="154">
        <v>0</v>
      </c>
      <c r="S18" s="154">
        <v>0</v>
      </c>
      <c r="T18" s="154">
        <v>0</v>
      </c>
      <c r="U18" s="155">
        <f t="shared" si="0"/>
        <v>0</v>
      </c>
    </row>
    <row r="19" spans="1:21" x14ac:dyDescent="0.25">
      <c r="A19" s="192" t="s">
        <v>575</v>
      </c>
      <c r="G19" s="173" t="s">
        <v>576</v>
      </c>
      <c r="H19" s="166" t="s">
        <v>577</v>
      </c>
      <c r="I19" s="171" t="s">
        <v>12</v>
      </c>
      <c r="J19" s="168"/>
      <c r="P19" s="153" t="s">
        <v>578</v>
      </c>
      <c r="Q19" s="154">
        <v>0</v>
      </c>
      <c r="R19" s="154">
        <v>0</v>
      </c>
      <c r="S19" s="154">
        <v>0</v>
      </c>
      <c r="T19" s="154">
        <v>0</v>
      </c>
      <c r="U19" s="155">
        <f t="shared" si="0"/>
        <v>0</v>
      </c>
    </row>
    <row r="20" spans="1:21" x14ac:dyDescent="0.25">
      <c r="A20" s="192" t="s">
        <v>579</v>
      </c>
      <c r="G20" s="173" t="s">
        <v>580</v>
      </c>
      <c r="H20" s="166" t="s">
        <v>581</v>
      </c>
      <c r="I20" s="170" t="s">
        <v>582</v>
      </c>
      <c r="J20" s="167"/>
      <c r="P20" s="156" t="s">
        <v>583</v>
      </c>
      <c r="Q20" s="157">
        <f>SUM(Q14:Q18)</f>
        <v>0</v>
      </c>
      <c r="R20" s="157">
        <f>SUM(R14:R18)</f>
        <v>0</v>
      </c>
      <c r="S20" s="157">
        <f>SUM(S14:S18)</f>
        <v>0</v>
      </c>
      <c r="T20" s="157">
        <f>SUM(T14:T18)</f>
        <v>0</v>
      </c>
      <c r="U20" s="157">
        <f>SUM(U14:U18)</f>
        <v>0</v>
      </c>
    </row>
    <row r="21" spans="1:21" x14ac:dyDescent="0.25">
      <c r="A21" s="192" t="s">
        <v>584</v>
      </c>
      <c r="G21" s="173" t="s">
        <v>585</v>
      </c>
      <c r="H21" s="166" t="s">
        <v>586</v>
      </c>
      <c r="I21" s="170" t="s">
        <v>582</v>
      </c>
      <c r="J21" s="167"/>
      <c r="P21" s="145"/>
      <c r="Q21" s="145"/>
      <c r="R21" s="145"/>
      <c r="S21" s="145"/>
      <c r="T21" s="145"/>
      <c r="U21" s="145"/>
    </row>
    <row r="22" spans="1:21" x14ac:dyDescent="0.25">
      <c r="A22" s="192" t="s">
        <v>587</v>
      </c>
      <c r="G22" s="173" t="s">
        <v>588</v>
      </c>
      <c r="H22" s="166" t="s">
        <v>589</v>
      </c>
      <c r="I22" s="170" t="s">
        <v>582</v>
      </c>
      <c r="J22" s="167"/>
    </row>
    <row r="23" spans="1:21" x14ac:dyDescent="0.25">
      <c r="A23" s="16"/>
      <c r="G23" s="173" t="s">
        <v>590</v>
      </c>
      <c r="H23" s="166" t="s">
        <v>591</v>
      </c>
      <c r="I23" s="170" t="s">
        <v>582</v>
      </c>
      <c r="J23" s="167"/>
    </row>
    <row r="24" spans="1:21" x14ac:dyDescent="0.25">
      <c r="A24" s="16"/>
      <c r="G24" s="173" t="s">
        <v>592</v>
      </c>
      <c r="H24" s="166" t="s">
        <v>593</v>
      </c>
      <c r="I24" s="170" t="s">
        <v>582</v>
      </c>
      <c r="J24" s="167"/>
    </row>
    <row r="25" spans="1:21" x14ac:dyDescent="0.25">
      <c r="A25" s="16"/>
      <c r="G25" s="173" t="s">
        <v>594</v>
      </c>
      <c r="H25" s="166" t="s">
        <v>595</v>
      </c>
      <c r="I25" s="170" t="s">
        <v>582</v>
      </c>
      <c r="J25" s="167"/>
    </row>
    <row r="26" spans="1:21" x14ac:dyDescent="0.25">
      <c r="A26" s="16"/>
      <c r="G26" s="173" t="s">
        <v>596</v>
      </c>
      <c r="H26" s="166" t="s">
        <v>597</v>
      </c>
      <c r="I26" s="170" t="s">
        <v>582</v>
      </c>
      <c r="J26" s="167"/>
    </row>
    <row r="27" spans="1:21" x14ac:dyDescent="0.25">
      <c r="A27" s="16"/>
      <c r="G27" s="173" t="s">
        <v>598</v>
      </c>
      <c r="H27" s="166" t="s">
        <v>599</v>
      </c>
      <c r="I27" s="170" t="s">
        <v>582</v>
      </c>
      <c r="J27" s="167"/>
    </row>
    <row r="28" spans="1:21" x14ac:dyDescent="0.25">
      <c r="A28" s="16"/>
      <c r="G28" s="173" t="s">
        <v>600</v>
      </c>
      <c r="H28" s="166" t="s">
        <v>601</v>
      </c>
      <c r="I28" s="170" t="s">
        <v>521</v>
      </c>
      <c r="J28" s="167"/>
    </row>
    <row r="29" spans="1:21" x14ac:dyDescent="0.25">
      <c r="A29" s="16"/>
      <c r="G29" s="173" t="s">
        <v>602</v>
      </c>
      <c r="H29" s="166" t="s">
        <v>603</v>
      </c>
      <c r="I29" s="170" t="s">
        <v>521</v>
      </c>
      <c r="J29" s="167"/>
    </row>
    <row r="30" spans="1:21" x14ac:dyDescent="0.25">
      <c r="A30" s="16"/>
      <c r="G30" s="173" t="s">
        <v>604</v>
      </c>
      <c r="H30" s="166" t="s">
        <v>605</v>
      </c>
      <c r="I30" s="170" t="s">
        <v>521</v>
      </c>
      <c r="J30" s="167"/>
    </row>
    <row r="31" spans="1:21" x14ac:dyDescent="0.25">
      <c r="A31" s="16"/>
      <c r="G31" s="173" t="s">
        <v>606</v>
      </c>
      <c r="H31" s="166" t="s">
        <v>607</v>
      </c>
      <c r="I31" s="170" t="s">
        <v>521</v>
      </c>
      <c r="J31" s="167"/>
    </row>
    <row r="32" spans="1:21" ht="16.5" thickBot="1" x14ac:dyDescent="0.3">
      <c r="A32" s="16"/>
      <c r="G32" s="173" t="s">
        <v>608</v>
      </c>
      <c r="H32" s="178" t="s">
        <v>609</v>
      </c>
      <c r="I32" s="172" t="s">
        <v>521</v>
      </c>
      <c r="J32" s="167"/>
    </row>
    <row r="33" spans="1:7" x14ac:dyDescent="0.25">
      <c r="A33" s="16"/>
      <c r="G33" s="173" t="s">
        <v>610</v>
      </c>
    </row>
    <row r="34" spans="1:7" x14ac:dyDescent="0.25">
      <c r="A34" s="16"/>
      <c r="G34" s="173" t="s">
        <v>611</v>
      </c>
    </row>
    <row r="35" spans="1:7" x14ac:dyDescent="0.25">
      <c r="A35" s="16"/>
      <c r="G35" s="173" t="s">
        <v>612</v>
      </c>
    </row>
    <row r="36" spans="1:7" x14ac:dyDescent="0.25">
      <c r="A36" s="16"/>
      <c r="G36" s="173" t="s">
        <v>613</v>
      </c>
    </row>
    <row r="37" spans="1:7" x14ac:dyDescent="0.25">
      <c r="A37" s="16"/>
      <c r="G37" s="173" t="s">
        <v>614</v>
      </c>
    </row>
    <row r="38" spans="1:7" x14ac:dyDescent="0.25">
      <c r="A38" s="16"/>
      <c r="G38" s="173" t="s">
        <v>615</v>
      </c>
    </row>
    <row r="39" spans="1:7" x14ac:dyDescent="0.25">
      <c r="A39" s="16"/>
      <c r="G39" s="173" t="s">
        <v>616</v>
      </c>
    </row>
    <row r="40" spans="1:7" x14ac:dyDescent="0.25">
      <c r="A40" s="16"/>
      <c r="G40" s="173" t="s">
        <v>617</v>
      </c>
    </row>
    <row r="41" spans="1:7" x14ac:dyDescent="0.25">
      <c r="A41" s="16"/>
      <c r="G41" s="173" t="s">
        <v>618</v>
      </c>
    </row>
    <row r="42" spans="1:7" x14ac:dyDescent="0.25">
      <c r="A42" s="16"/>
      <c r="G42" s="173" t="s">
        <v>619</v>
      </c>
    </row>
    <row r="43" spans="1:7" x14ac:dyDescent="0.25">
      <c r="A43" s="16"/>
      <c r="G43" s="173" t="s">
        <v>620</v>
      </c>
    </row>
    <row r="44" spans="1:7" x14ac:dyDescent="0.25">
      <c r="A44" s="16"/>
      <c r="G44" s="173" t="s">
        <v>621</v>
      </c>
    </row>
    <row r="45" spans="1:7" x14ac:dyDescent="0.25">
      <c r="A45" s="16"/>
      <c r="G45" s="173" t="s">
        <v>622</v>
      </c>
    </row>
    <row r="46" spans="1:7" x14ac:dyDescent="0.25">
      <c r="A46" s="16"/>
      <c r="G46" s="173" t="s">
        <v>623</v>
      </c>
    </row>
    <row r="47" spans="1:7" x14ac:dyDescent="0.25">
      <c r="A47" s="16"/>
      <c r="G47" s="173" t="s">
        <v>624</v>
      </c>
    </row>
    <row r="48" spans="1:7" x14ac:dyDescent="0.25">
      <c r="A48" s="16"/>
      <c r="G48" s="173" t="s">
        <v>625</v>
      </c>
    </row>
    <row r="49" spans="1:7" x14ac:dyDescent="0.25">
      <c r="A49" s="16"/>
      <c r="G49" s="173" t="s">
        <v>626</v>
      </c>
    </row>
    <row r="50" spans="1:7" x14ac:dyDescent="0.25">
      <c r="A50" s="16"/>
      <c r="G50" s="173" t="s">
        <v>627</v>
      </c>
    </row>
    <row r="51" spans="1:7" x14ac:dyDescent="0.25">
      <c r="A51" s="16"/>
      <c r="G51" s="173" t="s">
        <v>628</v>
      </c>
    </row>
    <row r="52" spans="1:7" x14ac:dyDescent="0.25">
      <c r="A52" s="16"/>
      <c r="G52" s="173" t="s">
        <v>629</v>
      </c>
    </row>
    <row r="53" spans="1:7" x14ac:dyDescent="0.25">
      <c r="A53" s="16"/>
      <c r="G53" s="173" t="s">
        <v>630</v>
      </c>
    </row>
    <row r="54" spans="1:7" x14ac:dyDescent="0.25">
      <c r="A54" s="16"/>
      <c r="G54" s="173" t="s">
        <v>631</v>
      </c>
    </row>
    <row r="55" spans="1:7" x14ac:dyDescent="0.25">
      <c r="A55" s="16"/>
      <c r="G55" s="173" t="s">
        <v>632</v>
      </c>
    </row>
    <row r="56" spans="1:7" x14ac:dyDescent="0.25">
      <c r="A56" s="16"/>
      <c r="G56" s="173" t="s">
        <v>633</v>
      </c>
    </row>
    <row r="57" spans="1:7" x14ac:dyDescent="0.25">
      <c r="A57" s="16"/>
      <c r="G57" s="173" t="s">
        <v>634</v>
      </c>
    </row>
    <row r="58" spans="1:7" x14ac:dyDescent="0.25">
      <c r="A58" s="16"/>
      <c r="G58" s="173" t="s">
        <v>635</v>
      </c>
    </row>
    <row r="59" spans="1:7" x14ac:dyDescent="0.25">
      <c r="A59" s="16"/>
      <c r="G59" s="173" t="s">
        <v>636</v>
      </c>
    </row>
    <row r="60" spans="1:7" x14ac:dyDescent="0.25">
      <c r="A60" s="16"/>
      <c r="G60" s="173" t="s">
        <v>637</v>
      </c>
    </row>
    <row r="61" spans="1:7" x14ac:dyDescent="0.25">
      <c r="A61" s="16"/>
      <c r="G61" s="173" t="s">
        <v>638</v>
      </c>
    </row>
  </sheetData>
  <sheetProtection autoFilter="0" pivotTables="0"/>
  <sortState xmlns:xlrd2="http://schemas.microsoft.com/office/spreadsheetml/2017/richdata2" ref="G3:G38">
    <sortCondition ref="G2:G38"/>
  </sortState>
  <mergeCells count="2">
    <mergeCell ref="P12:P13"/>
    <mergeCell ref="Q12:U12"/>
  </mergeCells>
  <phoneticPr fontId="27" type="noConversion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8"/>
  <dimension ref="A6:H18"/>
  <sheetViews>
    <sheetView showGridLines="0" workbookViewId="0">
      <selection activeCell="B18" sqref="B18:C18"/>
    </sheetView>
  </sheetViews>
  <sheetFormatPr baseColWidth="10" defaultColWidth="0" defaultRowHeight="15.75" x14ac:dyDescent="0.25"/>
  <cols>
    <col min="1" max="1" width="9" customWidth="1"/>
    <col min="2" max="3" width="18.5" customWidth="1"/>
    <col min="4" max="4" width="24.875" customWidth="1"/>
    <col min="5" max="5" width="18.5" customWidth="1"/>
    <col min="6" max="6" width="35.625" customWidth="1"/>
    <col min="7" max="7" width="46.625" customWidth="1"/>
    <col min="8" max="8" width="33.125" customWidth="1"/>
    <col min="9" max="9" width="9" customWidth="1"/>
  </cols>
  <sheetData>
    <row r="6" spans="1:8" ht="22.5" x14ac:dyDescent="0.25">
      <c r="A6" s="7"/>
      <c r="B6" s="492" t="s">
        <v>639</v>
      </c>
      <c r="C6" s="493"/>
      <c r="D6" s="493"/>
      <c r="E6" s="493"/>
      <c r="F6" s="493"/>
      <c r="G6" s="493"/>
      <c r="H6" s="494"/>
    </row>
    <row r="7" spans="1:8" x14ac:dyDescent="0.25">
      <c r="A7" s="7"/>
      <c r="B7" s="7"/>
      <c r="D7" s="497" t="s">
        <v>640</v>
      </c>
      <c r="E7" s="497"/>
      <c r="F7" s="497"/>
      <c r="G7" s="497"/>
      <c r="H7" s="498"/>
    </row>
    <row r="8" spans="1:8" x14ac:dyDescent="0.25">
      <c r="A8" s="7"/>
      <c r="B8" s="495" t="s">
        <v>641</v>
      </c>
      <c r="C8" s="496"/>
      <c r="D8" s="12" t="s">
        <v>642</v>
      </c>
      <c r="E8" s="12" t="s">
        <v>643</v>
      </c>
      <c r="F8" s="12" t="s">
        <v>644</v>
      </c>
      <c r="G8" s="12" t="s">
        <v>645</v>
      </c>
      <c r="H8" s="12" t="s">
        <v>646</v>
      </c>
    </row>
    <row r="9" spans="1:8" ht="27" customHeight="1" x14ac:dyDescent="0.25">
      <c r="A9" s="7"/>
      <c r="B9" s="490" t="s">
        <v>647</v>
      </c>
      <c r="C9" s="491"/>
      <c r="D9" s="8" t="s">
        <v>648</v>
      </c>
      <c r="E9" s="11">
        <v>43486</v>
      </c>
      <c r="F9" s="9" t="s">
        <v>649</v>
      </c>
      <c r="G9" s="9" t="s">
        <v>650</v>
      </c>
      <c r="H9" s="9" t="s">
        <v>651</v>
      </c>
    </row>
    <row r="10" spans="1:8" ht="35.25" customHeight="1" x14ac:dyDescent="0.25">
      <c r="A10" s="10" t="s">
        <v>640</v>
      </c>
      <c r="B10" s="490" t="s">
        <v>652</v>
      </c>
      <c r="C10" s="491"/>
      <c r="D10" s="8" t="s">
        <v>653</v>
      </c>
      <c r="E10" s="11">
        <v>44138</v>
      </c>
      <c r="F10" s="9" t="s">
        <v>654</v>
      </c>
      <c r="G10" s="9" t="s">
        <v>655</v>
      </c>
      <c r="H10" s="9" t="s">
        <v>651</v>
      </c>
    </row>
    <row r="11" spans="1:8" ht="24.75" x14ac:dyDescent="0.25">
      <c r="A11" s="10" t="s">
        <v>640</v>
      </c>
      <c r="B11" s="490" t="s">
        <v>656</v>
      </c>
      <c r="C11" s="491"/>
      <c r="D11" s="8" t="s">
        <v>657</v>
      </c>
      <c r="E11" s="11">
        <v>44252</v>
      </c>
      <c r="F11" s="9" t="s">
        <v>658</v>
      </c>
      <c r="G11" s="9" t="s">
        <v>659</v>
      </c>
      <c r="H11" s="9" t="s">
        <v>651</v>
      </c>
    </row>
    <row r="12" spans="1:8" ht="36.75" x14ac:dyDescent="0.25">
      <c r="B12" s="490" t="s">
        <v>660</v>
      </c>
      <c r="C12" s="491"/>
      <c r="D12" s="8" t="s">
        <v>657</v>
      </c>
      <c r="E12" s="11">
        <v>44629</v>
      </c>
      <c r="F12" s="9" t="s">
        <v>661</v>
      </c>
      <c r="G12" s="9" t="s">
        <v>662</v>
      </c>
      <c r="H12" s="9" t="s">
        <v>651</v>
      </c>
    </row>
    <row r="13" spans="1:8" ht="24.75" x14ac:dyDescent="0.25">
      <c r="B13" s="490" t="s">
        <v>663</v>
      </c>
      <c r="C13" s="491"/>
      <c r="D13" s="8" t="s">
        <v>657</v>
      </c>
      <c r="E13" s="11">
        <v>44900</v>
      </c>
      <c r="F13" s="9" t="s">
        <v>664</v>
      </c>
      <c r="G13" s="9" t="s">
        <v>665</v>
      </c>
      <c r="H13" s="9" t="s">
        <v>651</v>
      </c>
    </row>
    <row r="14" spans="1:8" ht="36.75" x14ac:dyDescent="0.25">
      <c r="B14" s="490" t="s">
        <v>666</v>
      </c>
      <c r="C14" s="491"/>
      <c r="D14" s="8" t="s">
        <v>657</v>
      </c>
      <c r="E14" s="11">
        <v>45026</v>
      </c>
      <c r="F14" s="9" t="s">
        <v>667</v>
      </c>
      <c r="G14" s="9" t="s">
        <v>665</v>
      </c>
      <c r="H14" s="9" t="s">
        <v>651</v>
      </c>
    </row>
    <row r="15" spans="1:8" ht="24.75" x14ac:dyDescent="0.25">
      <c r="B15" s="490" t="s">
        <v>668</v>
      </c>
      <c r="C15" s="491"/>
      <c r="D15" s="8" t="s">
        <v>657</v>
      </c>
      <c r="E15" s="11">
        <v>45035</v>
      </c>
      <c r="F15" s="9" t="s">
        <v>669</v>
      </c>
      <c r="G15" s="9" t="s">
        <v>665</v>
      </c>
      <c r="H15" s="9" t="s">
        <v>651</v>
      </c>
    </row>
    <row r="16" spans="1:8" ht="24.75" x14ac:dyDescent="0.25">
      <c r="B16" s="490" t="s">
        <v>670</v>
      </c>
      <c r="C16" s="491"/>
      <c r="D16" s="8" t="s">
        <v>657</v>
      </c>
      <c r="E16" s="11">
        <v>45065</v>
      </c>
      <c r="F16" s="9" t="s">
        <v>671</v>
      </c>
      <c r="G16" s="9" t="s">
        <v>665</v>
      </c>
      <c r="H16" s="9" t="s">
        <v>651</v>
      </c>
    </row>
    <row r="17" spans="2:8" ht="24.75" x14ac:dyDescent="0.25">
      <c r="B17" s="490" t="s">
        <v>672</v>
      </c>
      <c r="C17" s="491"/>
      <c r="D17" s="8" t="s">
        <v>657</v>
      </c>
      <c r="E17" s="11">
        <v>45240</v>
      </c>
      <c r="F17" s="9" t="s">
        <v>673</v>
      </c>
      <c r="G17" s="9" t="s">
        <v>665</v>
      </c>
      <c r="H17" s="9" t="s">
        <v>674</v>
      </c>
    </row>
    <row r="18" spans="2:8" ht="36.75" x14ac:dyDescent="0.25">
      <c r="B18" s="490" t="s">
        <v>675</v>
      </c>
      <c r="C18" s="491"/>
      <c r="D18" s="8" t="s">
        <v>657</v>
      </c>
      <c r="E18" s="11">
        <v>45244</v>
      </c>
      <c r="F18" s="9" t="s">
        <v>676</v>
      </c>
      <c r="G18" s="9" t="s">
        <v>665</v>
      </c>
      <c r="H18" s="9" t="s">
        <v>674</v>
      </c>
    </row>
  </sheetData>
  <sheetProtection algorithmName="SHA-512" hashValue="xDhe6e9ISMUuz7kTjwXwA7Ab/Pv+BaVA/hd6wl2e/XiaqE4nDxjUt/Ot+VYdTu0fteGtT5iNdNfdN1IWUHkZYg==" saltValue="iO1cMcAun3So2ciB12aypw==" spinCount="100000" sheet="1" objects="1" scenarios="1"/>
  <mergeCells count="13">
    <mergeCell ref="B17:C17"/>
    <mergeCell ref="B18:C18"/>
    <mergeCell ref="B16:C16"/>
    <mergeCell ref="B15:C15"/>
    <mergeCell ref="B6:H6"/>
    <mergeCell ref="B9:C9"/>
    <mergeCell ref="B10:C10"/>
    <mergeCell ref="B8:C8"/>
    <mergeCell ref="B14:C14"/>
    <mergeCell ref="B11:C11"/>
    <mergeCell ref="B12:C12"/>
    <mergeCell ref="B13:C13"/>
    <mergeCell ref="D7:H7"/>
  </mergeCells>
  <phoneticPr fontId="27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1B5D-C925-4E73-974C-9E8F6699E54E}">
  <dimension ref="C6:F14"/>
  <sheetViews>
    <sheetView topLeftCell="E6" zoomScale="78" zoomScaleNormal="78" workbookViewId="0">
      <selection activeCell="F12" sqref="F12"/>
    </sheetView>
  </sheetViews>
  <sheetFormatPr baseColWidth="10" defaultColWidth="11" defaultRowHeight="15.75" x14ac:dyDescent="0.25"/>
  <cols>
    <col min="1" max="1" width="30.375" customWidth="1"/>
    <col min="2" max="2" width="34.875" customWidth="1"/>
    <col min="3" max="4" width="11" hidden="1" customWidth="1"/>
    <col min="5" max="5" width="33.5" customWidth="1"/>
    <col min="6" max="6" width="55.375" customWidth="1"/>
  </cols>
  <sheetData>
    <row r="6" spans="5:6" ht="21" x14ac:dyDescent="0.25">
      <c r="E6" s="499" t="s">
        <v>677</v>
      </c>
      <c r="F6" s="500"/>
    </row>
    <row r="7" spans="5:6" ht="16.5" thickBot="1" x14ac:dyDescent="0.3">
      <c r="E7" s="235"/>
      <c r="F7" s="236"/>
    </row>
    <row r="8" spans="5:6" ht="18.75" x14ac:dyDescent="0.25">
      <c r="E8" s="501" t="s">
        <v>678</v>
      </c>
      <c r="F8" s="502"/>
    </row>
    <row r="9" spans="5:6" x14ac:dyDescent="0.25">
      <c r="E9" s="237" t="s">
        <v>679</v>
      </c>
      <c r="F9" s="238">
        <v>37</v>
      </c>
    </row>
    <row r="10" spans="5:6" x14ac:dyDescent="0.25">
      <c r="E10" s="239" t="s">
        <v>680</v>
      </c>
      <c r="F10" s="240">
        <v>37</v>
      </c>
    </row>
    <row r="11" spans="5:6" x14ac:dyDescent="0.25">
      <c r="E11" s="241" t="s">
        <v>681</v>
      </c>
      <c r="F11" s="242">
        <v>0</v>
      </c>
    </row>
    <row r="12" spans="5:6" x14ac:dyDescent="0.25">
      <c r="E12" s="241" t="s">
        <v>682</v>
      </c>
      <c r="F12" s="242">
        <v>34</v>
      </c>
    </row>
    <row r="13" spans="5:6" x14ac:dyDescent="0.25">
      <c r="E13" s="241" t="s">
        <v>683</v>
      </c>
      <c r="F13" s="242">
        <v>3</v>
      </c>
    </row>
    <row r="14" spans="5:6" x14ac:dyDescent="0.25">
      <c r="E14" s="243" t="s">
        <v>684</v>
      </c>
      <c r="F14" s="244">
        <v>0</v>
      </c>
    </row>
  </sheetData>
  <mergeCells count="2">
    <mergeCell ref="E6:F6"/>
    <mergeCell ref="E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16AC702D2BC6449E0CCEC0A25C9F3D" ma:contentTypeVersion="3" ma:contentTypeDescription="Crear nuevo documento." ma:contentTypeScope="" ma:versionID="7b5959aa3a77ebc60b917e2fb50e1127">
  <xsd:schema xmlns:xsd="http://www.w3.org/2001/XMLSchema" xmlns:xs="http://www.w3.org/2001/XMLSchema" xmlns:p="http://schemas.microsoft.com/office/2006/metadata/properties" xmlns:ns2="ee991f82-d981-4b21-abf9-93aa0b521b37" targetNamespace="http://schemas.microsoft.com/office/2006/metadata/properties" ma:root="true" ma:fieldsID="0a59952076c1013287e673eb3a1e4b7d" ns2:_="">
    <xsd:import namespace="ee991f82-d981-4b21-abf9-93aa0b521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91f82-d981-4b21-abf9-93aa0b521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0E0E45-0633-490B-90DA-F9E68B972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91f82-d981-4b21-abf9-93aa0b521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9F8CD9-D1FD-4C4F-991E-95C1C74356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CAE1BF-D5FA-4AA0-82B2-08E0F29368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Resumen General</vt:lpstr>
      <vt:lpstr>Calculo Factor de Ajuste</vt:lpstr>
      <vt:lpstr>Estimación General</vt:lpstr>
      <vt:lpstr>Estimación 2</vt:lpstr>
      <vt:lpstr>Estimación 3</vt:lpstr>
      <vt:lpstr>Estimación 4</vt:lpstr>
      <vt:lpstr>Estimación 5</vt:lpstr>
      <vt:lpstr>Detalle Estimación</vt:lpstr>
      <vt:lpstr>Set De Pruebas</vt:lpstr>
      <vt:lpstr>Gestión de Actas</vt:lpstr>
      <vt:lpstr>Informe de Cierre</vt:lpstr>
      <vt:lpstr>listas</vt:lpstr>
      <vt:lpstr>Control de Cambios al Documento</vt:lpstr>
      <vt:lpstr>Avance Ejecución</vt:lpstr>
      <vt:lpstr>IDCPADISEÑAR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Allison Osorio Uribe</cp:lastModifiedBy>
  <cp:revision/>
  <dcterms:created xsi:type="dcterms:W3CDTF">2020-07-14T18:48:11Z</dcterms:created>
  <dcterms:modified xsi:type="dcterms:W3CDTF">2025-11-19T15:53:33Z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0x0101001C16AC702D2BC6449E0CCEC0A25C9F3D</vt:lpwstr>
  </property>
  <property fmtid="{D5CDD505-2E9C-101B-9397-08002B2CF9AE}" pid="3" name="MediaServiceImageTags">
    <vt:lpwstr/>
  </property>
  <property fmtid="{D5CDD505-2E9C-101B-9397-08002B2CF9AE}" pid="4" name="Order">
    <vt:r8>2227400</vt:r8>
  </property>
  <property fmtid="{D5CDD505-2E9C-101B-9397-08002B2CF9AE}" pid="5" name="TriggerFlowInfo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_ColorTag">
    <vt:lpwstr/>
  </property>
</Properties>
</file>